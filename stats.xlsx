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 " sheetId="1" state="visible" r:id="rId1"/>
  </sheets>
  <calcPr/>
</workbook>
</file>

<file path=xl/sharedStrings.xml><?xml version="1.0" encoding="utf-8"?>
<sst xmlns="http://schemas.openxmlformats.org/spreadsheetml/2006/main" count="101" uniqueCount="101">
  <si>
    <t>Дата</t>
  </si>
  <si>
    <t xml:space="preserve">Температура
воздуха
8-00-14-00</t>
  </si>
  <si>
    <t xml:space="preserve">Температура
газа на ГИС</t>
  </si>
  <si>
    <t xml:space="preserve">Кол-во
ТДА</t>
  </si>
  <si>
    <t xml:space="preserve">Кол-во
вент.</t>
  </si>
  <si>
    <t>Расход</t>
  </si>
  <si>
    <t xml:space="preserve">% откр. 513/515/
513.1./515.1</t>
  </si>
  <si>
    <t xml:space="preserve">Рвх СОГ</t>
  </si>
  <si>
    <t xml:space="preserve">Рвых СОГ</t>
  </si>
  <si>
    <t>Твх</t>
  </si>
  <si>
    <t>Твых</t>
  </si>
  <si>
    <t xml:space="preserve">Кол-во раб.
ТДА №</t>
  </si>
  <si>
    <t>Уравнение</t>
  </si>
  <si>
    <t xml:space="preserve">№ рабочих ГПА
 на ДКС 1 ст сж</t>
  </si>
  <si>
    <t xml:space="preserve">Рвх 1 ст,
кгс/см2</t>
  </si>
  <si>
    <t xml:space="preserve">Рвых 1 ст,
кгс/см2</t>
  </si>
  <si>
    <t xml:space="preserve">Твх 1 ст,
оС</t>
  </si>
  <si>
    <t xml:space="preserve">Твых 1 ст,
оС</t>
  </si>
  <si>
    <t xml:space="preserve">№рабочих ГПА
на ДКС 2 ст сж</t>
  </si>
  <si>
    <t xml:space="preserve">Рвх 2 ст,
кгс/см2</t>
  </si>
  <si>
    <t xml:space="preserve">Рвых 2 ст,
кгс/см2</t>
  </si>
  <si>
    <t xml:space="preserve">Твх 2 ст,
оС</t>
  </si>
  <si>
    <t xml:space="preserve">Твых 2 ст,
оС</t>
  </si>
  <si>
    <t xml:space="preserve">Расход топливного
газа 1 ст ДКС, м3</t>
  </si>
  <si>
    <t xml:space="preserve">Расход топливного
газа 2 ст ДКС, м3</t>
  </si>
  <si>
    <t>-</t>
  </si>
  <si>
    <t xml:space="preserve">зимняя схема</t>
  </si>
  <si>
    <t>+1,6</t>
  </si>
  <si>
    <t xml:space="preserve">0/30
0/29</t>
  </si>
  <si>
    <t>3,4,6,10</t>
  </si>
  <si>
    <t xml:space="preserve">0/30
0/30</t>
  </si>
  <si>
    <t xml:space="preserve">0/22
0/24</t>
  </si>
  <si>
    <t>2,4,6,10</t>
  </si>
  <si>
    <t xml:space="preserve">0/20
0/22</t>
  </si>
  <si>
    <t xml:space="preserve">0/21
0/22</t>
  </si>
  <si>
    <t xml:space="preserve">0/20
0/21</t>
  </si>
  <si>
    <t xml:space="preserve">0/25
0/24</t>
  </si>
  <si>
    <t xml:space="preserve">0/26
0/25</t>
  </si>
  <si>
    <t xml:space="preserve">0/25
0/25</t>
  </si>
  <si>
    <t xml:space="preserve">0/22
0/23</t>
  </si>
  <si>
    <t xml:space="preserve">0/22
0/22</t>
  </si>
  <si>
    <t xml:space="preserve">0/23
0/23</t>
  </si>
  <si>
    <t xml:space="preserve">0/23
0/22</t>
  </si>
  <si>
    <t xml:space="preserve">0/21
0/21</t>
  </si>
  <si>
    <t>+0,7/+3</t>
  </si>
  <si>
    <t>-1,1</t>
  </si>
  <si>
    <t>6</t>
  </si>
  <si>
    <t>11</t>
  </si>
  <si>
    <t>2325</t>
  </si>
  <si>
    <t>0/0</t>
  </si>
  <si>
    <t>1,2,4,5,6,8</t>
  </si>
  <si>
    <t>+0,1/+2</t>
  </si>
  <si>
    <t>-1</t>
  </si>
  <si>
    <t>13</t>
  </si>
  <si>
    <t>17/0</t>
  </si>
  <si>
    <t>-1,8/0</t>
  </si>
  <si>
    <t>-1,2</t>
  </si>
  <si>
    <t>17</t>
  </si>
  <si>
    <t>15/0</t>
  </si>
  <si>
    <t>-2/-2</t>
  </si>
  <si>
    <t>-1,3</t>
  </si>
  <si>
    <t>16</t>
  </si>
  <si>
    <t>2045</t>
  </si>
  <si>
    <t>-2,3/-1</t>
  </si>
  <si>
    <t>-0,7</t>
  </si>
  <si>
    <t>5</t>
  </si>
  <si>
    <t>20</t>
  </si>
  <si>
    <t>2000</t>
  </si>
  <si>
    <t>22/0</t>
  </si>
  <si>
    <t>1,2,4,6,8</t>
  </si>
  <si>
    <t>-4,1/-1</t>
  </si>
  <si>
    <t>23/0</t>
  </si>
  <si>
    <t>-1/-1</t>
  </si>
  <si>
    <t>-0,8</t>
  </si>
  <si>
    <t>26</t>
  </si>
  <si>
    <t>15/17</t>
  </si>
  <si>
    <t>-1,1/0</t>
  </si>
  <si>
    <t>23</t>
  </si>
  <si>
    <t>13/19</t>
  </si>
  <si>
    <t>-2/-1</t>
  </si>
  <si>
    <t>22</t>
  </si>
  <si>
    <t>-6,9/+1</t>
  </si>
  <si>
    <t>-0,6</t>
  </si>
  <si>
    <t>12</t>
  </si>
  <si>
    <t>14/19</t>
  </si>
  <si>
    <t>-8//0</t>
  </si>
  <si>
    <t>1450</t>
  </si>
  <si>
    <t>-8/-1</t>
  </si>
  <si>
    <t>9</t>
  </si>
  <si>
    <t>-8/0</t>
  </si>
  <si>
    <t>0/16</t>
  </si>
  <si>
    <t>0/26</t>
  </si>
  <si>
    <t>0/24</t>
  </si>
  <si>
    <t>0/22</t>
  </si>
  <si>
    <t>0/21</t>
  </si>
  <si>
    <t>0/20</t>
  </si>
  <si>
    <t>0/18</t>
  </si>
  <si>
    <t xml:space="preserve">0/26; 0/17</t>
  </si>
  <si>
    <t>1,2,6,8</t>
  </si>
  <si>
    <t xml:space="preserve">0/21; 0/17</t>
  </si>
  <si>
    <t xml:space="preserve">0/20; 0/17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</si>
</sst>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"/>
  </numFmts>
  <fonts count="4">
    <font>
      <sz val="11.000000"/>
      <color theme="1"/>
      <name val="Liberation Sans"/>
      <scheme val="minor"/>
    </font>
    <font>
      <b/>
      <sz val="11.000000"/>
      <color theme="1"/>
      <name val="Liberation Sans"/>
      <scheme val="minor"/>
    </font>
    <font>
      <b/>
      <sz val="11.000000"/>
      <color theme="1"/>
      <name val="Calibri"/>
    </font>
    <font>
      <sz val="11.00000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0" tint="0"/>
        <bgColor theme="0" tint="0"/>
      </patternFill>
    </fill>
  </fills>
  <borders count="60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theme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theme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none"/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theme="1"/>
      </top>
      <bottom style="medium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medium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none"/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5">
    <xf fontId="0" fillId="0" borderId="0" numFmtId="0" xfId="0"/>
    <xf fontId="0" fillId="2" borderId="0" numFmtId="0" xfId="0" applyFill="1"/>
    <xf fontId="0" fillId="3" borderId="0" numFmtId="0" xfId="0" applyFill="1"/>
    <xf fontId="0" fillId="4" borderId="0" numFmtId="0" xfId="0" applyFill="1"/>
    <xf fontId="0" fillId="4" borderId="0" numFmtId="0" xfId="0" applyFill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 wrapText="1"/>
    </xf>
    <xf fontId="2" fillId="2" borderId="3" numFmtId="0" xfId="0" applyFont="1" applyFill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 wrapText="1"/>
    </xf>
    <xf fontId="1" fillId="3" borderId="0" numFmtId="0" xfId="0" applyFont="1" applyFill="1" applyAlignment="1">
      <alignment horizontal="center" vertical="center"/>
    </xf>
    <xf fontId="1" fillId="0" borderId="5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4" borderId="3" numFmtId="0" xfId="0" applyFont="1" applyFill="1" applyBorder="1" applyAlignment="1">
      <alignment horizontal="center" vertical="center" wrapText="1"/>
    </xf>
    <xf fontId="1" fillId="4" borderId="4" numFmtId="0" xfId="0" applyFont="1" applyFill="1" applyBorder="1" applyAlignment="1">
      <alignment horizontal="center" vertical="center" wrapText="1"/>
    </xf>
    <xf fontId="1" fillId="4" borderId="1" numFmtId="0" xfId="0" applyFont="1" applyFill="1" applyBorder="1" applyAlignment="1">
      <alignment horizontal="center" vertical="center" wrapText="1"/>
    </xf>
    <xf fontId="1" fillId="4" borderId="6" numFmtId="0" xfId="0" applyFont="1" applyFill="1" applyBorder="1" applyAlignment="1">
      <alignment horizontal="center" vertical="center" wrapText="1"/>
    </xf>
    <xf fontId="0" fillId="0" borderId="7" numFmtId="14" xfId="0" applyNumberFormat="1" applyBorder="1"/>
    <xf fontId="3" fillId="2" borderId="8" numFmtId="0" xfId="0" applyFont="1" applyFill="1" applyBorder="1" applyAlignment="1">
      <alignment horizontal="center" vertical="center" wrapText="1"/>
    </xf>
    <xf fontId="3" fillId="2" borderId="9" numFmtId="0" xfId="0" applyFont="1" applyFill="1" applyBorder="1" applyAlignment="1">
      <alignment horizontal="center" vertical="center" wrapText="1"/>
    </xf>
    <xf fontId="3" fillId="0" borderId="9" numFmtId="0" xfId="0" applyFont="1" applyBorder="1" applyAlignment="1">
      <alignment horizontal="center" vertical="center" wrapText="1"/>
    </xf>
    <xf fontId="3" fillId="0" borderId="9" numFmtId="0" xfId="0" applyFont="1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160" xfId="0" applyNumberFormat="1" applyBorder="1" applyAlignment="1">
      <alignment horizontal="center" vertical="center"/>
    </xf>
    <xf fontId="0" fillId="4" borderId="12" numFmtId="0" xfId="0" applyFill="1" applyBorder="1" applyAlignment="1">
      <alignment horizontal="center" vertical="center"/>
    </xf>
    <xf fontId="0" fillId="4" borderId="13" numFmtId="0" xfId="0" applyFill="1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0" fillId="4" borderId="14" numFmtId="1" xfId="0" applyNumberFormat="1" applyFill="1" applyBorder="1" applyAlignment="1">
      <alignment horizontal="center" vertical="center"/>
    </xf>
    <xf fontId="0" fillId="0" borderId="15" numFmtId="14" xfId="0" applyNumberFormat="1" applyBorder="1"/>
    <xf fontId="3" fillId="2" borderId="16" numFmtId="0" xfId="0" applyFont="1" applyFill="1" applyBorder="1" applyAlignment="1">
      <alignment horizontal="center" vertical="center" wrapText="1"/>
    </xf>
    <xf fontId="3" fillId="2" borderId="17" numFmtId="0" xfId="0" applyFont="1" applyFill="1" applyBorder="1" applyAlignment="1">
      <alignment horizontal="center" vertical="center" wrapText="1"/>
    </xf>
    <xf fontId="3" fillId="0" borderId="17" numFmtId="0" xfId="0" applyFont="1" applyBorder="1" applyAlignment="1">
      <alignment horizontal="center" vertical="center" wrapText="1"/>
    </xf>
    <xf fontId="3" fillId="0" borderId="17" numFmtId="0" xfId="0" applyFont="1" applyBorder="1" applyAlignment="1">
      <alignment horizontal="center" vertical="center"/>
    </xf>
    <xf fontId="0" fillId="0" borderId="17" numFmtId="0" xfId="0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0" fillId="0" borderId="19" numFmtId="0" xfId="0" applyBorder="1" applyAlignment="1">
      <alignment horizontal="center" vertical="center"/>
    </xf>
    <xf fontId="0" fillId="0" borderId="17" numFmtId="160" xfId="0" applyNumberFormat="1" applyBorder="1" applyAlignment="1">
      <alignment horizontal="center" vertical="center"/>
    </xf>
    <xf fontId="0" fillId="4" borderId="17" numFmtId="0" xfId="0" applyFill="1" applyBorder="1" applyAlignment="1">
      <alignment horizontal="center" vertical="center"/>
    </xf>
    <xf fontId="0" fillId="4" borderId="18" numFmtId="0" xfId="0" applyFill="1" applyBorder="1" applyAlignment="1">
      <alignment horizontal="center" vertical="center"/>
    </xf>
    <xf fontId="0" fillId="4" borderId="20" numFmtId="1" xfId="0" applyNumberFormat="1" applyFill="1" applyBorder="1" applyAlignment="1">
      <alignment horizontal="center" vertical="center"/>
    </xf>
    <xf fontId="0" fillId="4" borderId="21" numFmtId="1" xfId="0" applyNumberFormat="1" applyFill="1" applyBorder="1" applyAlignment="1">
      <alignment horizontal="center" vertical="center"/>
    </xf>
    <xf fontId="0" fillId="0" borderId="17" numFmtId="1" xfId="0" applyNumberFormat="1" applyBorder="1" applyAlignment="1">
      <alignment horizontal="center" vertical="center"/>
    </xf>
    <xf fontId="3" fillId="2" borderId="16" numFmtId="0" xfId="0" applyFont="1" applyFill="1" applyBorder="1" applyAlignment="1">
      <alignment horizontal="center" vertical="center"/>
    </xf>
    <xf fontId="3" fillId="2" borderId="17" numFmtId="0" xfId="0" applyFont="1" applyFill="1" applyBorder="1" applyAlignment="1">
      <alignment horizontal="center" vertical="center"/>
    </xf>
    <xf fontId="0" fillId="0" borderId="22" numFmtId="14" xfId="0" applyNumberFormat="1" applyBorder="1"/>
    <xf fontId="3" fillId="2" borderId="23" numFmtId="0" xfId="0" applyFont="1" applyFill="1" applyBorder="1" applyAlignment="1">
      <alignment horizontal="center" vertical="center"/>
    </xf>
    <xf fontId="3" fillId="2" borderId="24" numFmtId="0" xfId="0" applyFont="1" applyFill="1" applyBorder="1" applyAlignment="1">
      <alignment horizontal="center" vertical="center"/>
    </xf>
    <xf fontId="3" fillId="0" borderId="24" numFmtId="0" xfId="0" applyFont="1" applyBorder="1" applyAlignment="1">
      <alignment horizontal="center" vertical="center" wrapText="1"/>
    </xf>
    <xf fontId="3" fillId="0" borderId="24" numFmtId="0" xfId="0" applyFont="1" applyBorder="1" applyAlignment="1">
      <alignment horizontal="center" vertical="center"/>
    </xf>
    <xf fontId="0" fillId="0" borderId="24" numFmtId="0" xfId="0" applyBorder="1" applyAlignment="1">
      <alignment horizontal="center" vertical="center"/>
    </xf>
    <xf fontId="0" fillId="0" borderId="25" numFmtId="0" xfId="0" applyBorder="1" applyAlignment="1">
      <alignment horizontal="center" vertical="center"/>
    </xf>
    <xf fontId="0" fillId="0" borderId="26" numFmtId="0" xfId="0" applyBorder="1" applyAlignment="1">
      <alignment horizontal="center" vertical="center"/>
    </xf>
    <xf fontId="0" fillId="0" borderId="27" numFmtId="160" xfId="0" applyNumberFormat="1" applyBorder="1" applyAlignment="1">
      <alignment horizontal="center" vertical="center"/>
    </xf>
    <xf fontId="0" fillId="4" borderId="27" numFmtId="0" xfId="0" applyFill="1" applyBorder="1" applyAlignment="1">
      <alignment horizontal="center" vertical="center"/>
    </xf>
    <xf fontId="0" fillId="4" borderId="28" numFmtId="0" xfId="0" applyFill="1" applyBorder="1" applyAlignment="1">
      <alignment horizontal="center" vertical="center"/>
    </xf>
    <xf fontId="0" fillId="0" borderId="27" numFmtId="0" xfId="0" applyBorder="1" applyAlignment="1">
      <alignment horizontal="center" vertical="center"/>
    </xf>
    <xf fontId="0" fillId="0" borderId="28" numFmtId="0" xfId="0" applyBorder="1" applyAlignment="1">
      <alignment horizontal="center" vertical="center"/>
    </xf>
    <xf fontId="0" fillId="4" borderId="29" numFmtId="1" xfId="0" applyNumberFormat="1" applyFill="1" applyBorder="1" applyAlignment="1">
      <alignment horizontal="center" vertical="center"/>
    </xf>
    <xf fontId="0" fillId="4" borderId="30" numFmtId="1" xfId="0" applyNumberFormat="1" applyFill="1" applyBorder="1" applyAlignment="1">
      <alignment horizontal="center" vertical="center"/>
    </xf>
    <xf fontId="3" fillId="2" borderId="8" numFmtId="0" xfId="0" applyFont="1" applyFill="1" applyBorder="1" applyAlignment="1">
      <alignment horizontal="center" vertical="center"/>
    </xf>
    <xf fontId="3" fillId="2" borderId="9" numFmtId="49" xfId="0" applyNumberFormat="1" applyFont="1" applyFill="1" applyBorder="1" applyAlignment="1">
      <alignment horizontal="center" vertical="center"/>
    </xf>
    <xf fontId="0" fillId="0" borderId="31" numFmtId="0" xfId="0" applyBorder="1" applyAlignment="1">
      <alignment horizontal="center" vertical="center"/>
    </xf>
    <xf fontId="0" fillId="0" borderId="9" numFmtId="160" xfId="0" applyNumberFormat="1" applyBorder="1" applyAlignment="1">
      <alignment horizontal="center" vertical="center"/>
    </xf>
    <xf fontId="0" fillId="4" borderId="9" numFmtId="0" xfId="0" applyFill="1" applyBorder="1" applyAlignment="1">
      <alignment horizontal="center" vertical="center"/>
    </xf>
    <xf fontId="0" fillId="4" borderId="10" numFmtId="0" xfId="0" applyFill="1" applyBorder="1" applyAlignment="1">
      <alignment horizontal="center" vertical="center"/>
    </xf>
    <xf fontId="0" fillId="0" borderId="9" numFmtId="160" xfId="0" applyNumberFormat="1" applyBorder="1"/>
    <xf fontId="0" fillId="0" borderId="9" numFmtId="2" xfId="0" applyNumberFormat="1" applyBorder="1"/>
    <xf fontId="0" fillId="0" borderId="10" numFmtId="1" xfId="0" applyNumberFormat="1" applyBorder="1"/>
    <xf fontId="0" fillId="0" borderId="17" numFmtId="160" xfId="0" applyNumberFormat="1" applyBorder="1"/>
    <xf fontId="0" fillId="0" borderId="18" numFmtId="1" xfId="0" applyNumberFormat="1" applyBorder="1"/>
    <xf fontId="0" fillId="0" borderId="17" numFmtId="1" xfId="0" applyNumberFormat="1" applyBorder="1"/>
    <xf fontId="0" fillId="2" borderId="16" numFmtId="0" xfId="0" applyFill="1" applyBorder="1" applyAlignment="1">
      <alignment horizontal="center" vertical="center"/>
    </xf>
    <xf fontId="0" fillId="2" borderId="17" numFmtId="0" xfId="0" applyFill="1" applyBorder="1" applyAlignment="1">
      <alignment horizontal="center" vertical="center"/>
    </xf>
    <xf fontId="0" fillId="0" borderId="17" numFmtId="0" xfId="0" applyBorder="1" applyAlignment="1">
      <alignment horizontal="center" vertical="center" wrapText="1"/>
    </xf>
    <xf fontId="0" fillId="2" borderId="23" numFmtId="0" xfId="0" applyFill="1" applyBorder="1" applyAlignment="1">
      <alignment horizontal="center" vertical="center"/>
    </xf>
    <xf fontId="0" fillId="2" borderId="24" numFmtId="0" xfId="0" applyFill="1" applyBorder="1" applyAlignment="1">
      <alignment horizontal="center" vertical="center"/>
    </xf>
    <xf fontId="0" fillId="0" borderId="24" numFmtId="0" xfId="0" applyBorder="1" applyAlignment="1">
      <alignment horizontal="center" vertical="center" wrapText="1"/>
    </xf>
    <xf fontId="0" fillId="0" borderId="32" numFmtId="0" xfId="0" applyBorder="1" applyAlignment="1">
      <alignment horizontal="center" vertical="center"/>
    </xf>
    <xf fontId="0" fillId="0" borderId="24" numFmtId="160" xfId="0" applyNumberFormat="1" applyBorder="1" applyAlignment="1">
      <alignment horizontal="center" vertical="center"/>
    </xf>
    <xf fontId="0" fillId="4" borderId="24" numFmtId="0" xfId="0" applyFill="1" applyBorder="1" applyAlignment="1">
      <alignment horizontal="center" vertical="center"/>
    </xf>
    <xf fontId="0" fillId="4" borderId="25" numFmtId="0" xfId="0" applyFill="1" applyBorder="1" applyAlignment="1">
      <alignment horizontal="center" vertical="center"/>
    </xf>
    <xf fontId="0" fillId="0" borderId="24" numFmtId="160" xfId="0" applyNumberFormat="1" applyBorder="1"/>
    <xf fontId="0" fillId="0" borderId="25" numFmtId="1" xfId="0" applyNumberFormat="1" applyBorder="1"/>
    <xf fontId="0" fillId="4" borderId="6" numFmtId="14" xfId="0" applyNumberFormat="1" applyFill="1" applyBorder="1"/>
    <xf fontId="3" fillId="2" borderId="8" numFmtId="49" xfId="0" applyNumberFormat="1" applyFont="1" applyFill="1" applyBorder="1" applyAlignment="1">
      <alignment horizontal="center" vertical="center"/>
    </xf>
    <xf fontId="3" fillId="4" borderId="9" numFmtId="49" xfId="0" applyNumberFormat="1" applyFont="1" applyFill="1" applyBorder="1" applyAlignment="1">
      <alignment horizontal="center" vertical="center"/>
    </xf>
    <xf fontId="3" fillId="4" borderId="33" numFmtId="49" xfId="0" applyNumberFormat="1" applyFont="1" applyFill="1" applyBorder="1" applyAlignment="1">
      <alignment horizontal="center" vertical="center"/>
    </xf>
    <xf fontId="0" fillId="4" borderId="34" numFmtId="0" xfId="0" applyFill="1" applyBorder="1" applyAlignment="1">
      <alignment horizontal="center" vertical="center"/>
    </xf>
    <xf fontId="0" fillId="4" borderId="35" numFmtId="0" xfId="0" applyFill="1" applyBorder="1" applyAlignment="1">
      <alignment horizontal="center" vertical="center"/>
    </xf>
    <xf fontId="0" fillId="4" borderId="36" numFmtId="0" xfId="0" applyFill="1" applyBorder="1" applyAlignment="1">
      <alignment horizontal="center" vertical="center"/>
    </xf>
    <xf fontId="0" fillId="4" borderId="37" numFmtId="0" xfId="0" applyFill="1" applyBorder="1" applyAlignment="1">
      <alignment horizontal="center" vertical="center"/>
    </xf>
    <xf fontId="0" fillId="4" borderId="38" numFmtId="14" xfId="0" applyNumberFormat="1" applyFill="1" applyBorder="1"/>
    <xf fontId="3" fillId="2" borderId="16" numFmtId="49" xfId="0" applyNumberFormat="1" applyFont="1" applyFill="1" applyBorder="1" applyAlignment="1">
      <alignment horizontal="center" vertical="center"/>
    </xf>
    <xf fontId="3" fillId="2" borderId="17" numFmtId="49" xfId="0" applyNumberFormat="1" applyFont="1" applyFill="1" applyBorder="1" applyAlignment="1">
      <alignment horizontal="center" vertical="center"/>
    </xf>
    <xf fontId="3" fillId="4" borderId="17" numFmtId="49" xfId="0" applyNumberFormat="1" applyFont="1" applyFill="1" applyBorder="1" applyAlignment="1">
      <alignment horizontal="center" vertical="center"/>
    </xf>
    <xf fontId="3" fillId="4" borderId="39" numFmtId="49" xfId="0" applyNumberFormat="1" applyFont="1" applyFill="1" applyBorder="1" applyAlignment="1">
      <alignment horizontal="center" vertical="center"/>
    </xf>
    <xf fontId="0" fillId="4" borderId="40" numFmtId="0" xfId="0" applyFill="1" applyBorder="1" applyAlignment="1">
      <alignment horizontal="center" vertical="center"/>
    </xf>
    <xf fontId="0" fillId="4" borderId="41" numFmtId="0" xfId="0" applyFill="1" applyBorder="1" applyAlignment="1">
      <alignment horizontal="center" vertical="center"/>
    </xf>
    <xf fontId="0" fillId="4" borderId="42" numFmtId="0" xfId="0" applyFill="1" applyBorder="1" applyAlignment="1">
      <alignment horizontal="center" vertical="center"/>
    </xf>
    <xf fontId="0" fillId="4" borderId="43" numFmtId="0" xfId="0" applyFill="1" applyBorder="1" applyAlignment="1">
      <alignment horizontal="center" vertical="center"/>
    </xf>
    <xf fontId="3" fillId="2" borderId="44" numFmtId="49" xfId="0" applyNumberFormat="1" applyFont="1" applyFill="1" applyBorder="1" applyAlignment="1">
      <alignment horizontal="center" vertical="center"/>
    </xf>
    <xf fontId="3" fillId="2" borderId="27" numFmtId="49" xfId="0" applyNumberFormat="1" applyFont="1" applyFill="1" applyBorder="1" applyAlignment="1">
      <alignment horizontal="center" vertical="center"/>
    </xf>
    <xf fontId="3" fillId="4" borderId="27" numFmtId="49" xfId="0" applyNumberFormat="1" applyFont="1" applyFill="1" applyBorder="1" applyAlignment="1">
      <alignment horizontal="center" vertical="center"/>
    </xf>
    <xf fontId="3" fillId="4" borderId="45" numFmtId="49" xfId="0" applyNumberFormat="1" applyFont="1" applyFill="1" applyBorder="1" applyAlignment="1">
      <alignment horizontal="center" vertical="center"/>
    </xf>
    <xf fontId="0" fillId="4" borderId="46" numFmtId="0" xfId="0" applyFill="1" applyBorder="1" applyAlignment="1">
      <alignment horizontal="center" vertical="center"/>
    </xf>
    <xf fontId="0" fillId="4" borderId="47" numFmtId="0" xfId="0" applyFill="1" applyBorder="1" applyAlignment="1">
      <alignment horizontal="center" vertical="center"/>
    </xf>
    <xf fontId="0" fillId="2" borderId="48" numFmtId="160" xfId="0" applyNumberFormat="1" applyFill="1" applyBorder="1" applyAlignment="1">
      <alignment horizontal="center"/>
    </xf>
    <xf fontId="0" fillId="2" borderId="40" numFmtId="0" xfId="0" applyFill="1" applyBorder="1" applyAlignment="1">
      <alignment horizontal="center" vertical="center"/>
    </xf>
    <xf fontId="0" fillId="4" borderId="40" numFmtId="49" xfId="0" applyNumberFormat="1" applyFill="1" applyBorder="1" applyAlignment="1">
      <alignment horizontal="center" vertical="center"/>
    </xf>
    <xf fontId="0" fillId="4" borderId="49" numFmtId="14" xfId="0" applyNumberFormat="1" applyFill="1" applyBorder="1"/>
    <xf fontId="0" fillId="2" borderId="50" numFmtId="160" xfId="0" applyNumberFormat="1" applyFill="1" applyBorder="1" applyAlignment="1">
      <alignment horizontal="center"/>
    </xf>
    <xf fontId="0" fillId="2" borderId="46" numFmtId="0" xfId="0" applyFill="1" applyBorder="1" applyAlignment="1">
      <alignment horizontal="center" vertical="center"/>
    </xf>
    <xf fontId="0" fillId="4" borderId="46" numFmtId="49" xfId="0" applyNumberFormat="1" applyFill="1" applyBorder="1" applyAlignment="1">
      <alignment horizontal="center" vertical="center"/>
    </xf>
    <xf fontId="0" fillId="4" borderId="51" numFmtId="0" xfId="0" applyFill="1" applyBorder="1" applyAlignment="1">
      <alignment horizontal="center" vertical="center"/>
    </xf>
    <xf fontId="0" fillId="4" borderId="52" numFmtId="0" xfId="0" applyFill="1" applyBorder="1" applyAlignment="1">
      <alignment horizontal="center" vertical="center"/>
    </xf>
    <xf fontId="0" fillId="4" borderId="53" numFmtId="0" xfId="0" applyFill="1" applyBorder="1" applyAlignment="1">
      <alignment horizontal="center" vertical="center"/>
    </xf>
    <xf fontId="0" fillId="4" borderId="54" numFmtId="0" xfId="0" applyFill="1" applyBorder="1" applyAlignment="1">
      <alignment horizontal="center" vertical="center"/>
    </xf>
    <xf fontId="0" fillId="4" borderId="55" numFmtId="0" xfId="0" applyFill="1" applyBorder="1" applyAlignment="1">
      <alignment horizontal="center" vertical="center"/>
    </xf>
    <xf fontId="0" fillId="4" borderId="56" numFmtId="14" xfId="0" applyNumberFormat="1" applyFill="1" applyBorder="1"/>
    <xf fontId="0" fillId="2" borderId="31" numFmtId="160" xfId="0" applyNumberFormat="1" applyFill="1" applyBorder="1" applyAlignment="1">
      <alignment horizontal="center"/>
    </xf>
    <xf fontId="0" fillId="2" borderId="57" numFmtId="0" xfId="0" applyFill="1" applyBorder="1" applyAlignment="1">
      <alignment horizontal="center" vertical="center"/>
    </xf>
    <xf fontId="0" fillId="4" borderId="34" numFmtId="49" xfId="0" applyNumberFormat="1" applyFill="1" applyBorder="1" applyAlignment="1">
      <alignment horizontal="center" vertical="center"/>
    </xf>
    <xf fontId="0" fillId="2" borderId="58" numFmtId="160" xfId="0" applyNumberFormat="1" applyFill="1" applyBorder="1" applyAlignment="1">
      <alignment horizontal="center"/>
    </xf>
    <xf fontId="0" fillId="2" borderId="42" numFmtId="160" xfId="0" applyNumberFormat="1" applyFill="1" applyBorder="1" applyAlignment="1">
      <alignment horizontal="center"/>
    </xf>
    <xf fontId="0" fillId="4" borderId="59" numFmtId="14" xfId="0" applyNumberFormat="1" applyFill="1" applyBorder="1"/>
    <xf fontId="0" fillId="2" borderId="53" numFmtId="160" xfId="0" applyNumberFormat="1" applyFill="1" applyBorder="1" applyAlignment="1">
      <alignment horizontal="center"/>
    </xf>
    <xf fontId="0" fillId="2" borderId="54" numFmtId="0" xfId="0" applyFill="1" applyBorder="1" applyAlignment="1">
      <alignment horizontal="center" vertical="center"/>
    </xf>
    <xf fontId="0" fillId="4" borderId="54" numFmtId="49" xfId="0" applyNumberFormat="1" applyFill="1" applyBorder="1" applyAlignment="1">
      <alignment horizontal="center" vertical="center"/>
    </xf>
    <xf fontId="0" fillId="0" borderId="0" numFmtId="14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cat>
            <c:numRef>
              <c:f xml:space="preserve">'Лист1 '!$A$3:$A$63</c:f>
              <c:numCache>
                <c:formatCode>m/d/yyyy</c:formatCode>
                <c:ptCount val="61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</c:numCache>
            </c:numRef>
          </c:cat>
          <c:val>
            <c:numRef>
              <c:f xml:space="preserve">'Лист1 '!$B$2:$B$62</c:f>
              <c:numCache>
                <c:formatCode>General</c:formatCode>
                <c:ptCount val="61"/>
                <c:pt idx="0">
                  <c:v>-11</c:v>
                </c:pt>
                <c:pt idx="1">
                  <c:v>-7.3</c:v>
                </c:pt>
                <c:pt idx="2">
                  <c:v>-14.1</c:v>
                </c:pt>
                <c:pt idx="3">
                  <c:v>-18.4</c:v>
                </c:pt>
                <c:pt idx="4">
                  <c:v>-16.2</c:v>
                </c:pt>
                <c:pt idx="5">
                  <c:v>-17.1</c:v>
                </c:pt>
                <c:pt idx="6">
                  <c:v>-15</c:v>
                </c:pt>
                <c:pt idx="7">
                  <c:v>-13.5</c:v>
                </c:pt>
                <c:pt idx="8">
                  <c:v>-15.2</c:v>
                </c:pt>
                <c:pt idx="9">
                  <c:v>-10</c:v>
                </c:pt>
                <c:pt idx="10">
                  <c:v>-9.5</c:v>
                </c:pt>
                <c:pt idx="11">
                  <c:v>-7.7</c:v>
                </c:pt>
                <c:pt idx="12">
                  <c:v>-6</c:v>
                </c:pt>
                <c:pt idx="13">
                  <c:v>-8.3</c:v>
                </c:pt>
                <c:pt idx="14">
                  <c:v>-6.5</c:v>
                </c:pt>
                <c:pt idx="15">
                  <c:v>-5.1</c:v>
                </c:pt>
                <c:pt idx="16">
                  <c:v>-14</c:v>
                </c:pt>
                <c:pt idx="17">
                  <c:v>-14.8</c:v>
                </c:pt>
                <c:pt idx="18">
                  <c:v>-11</c:v>
                </c:pt>
                <c:pt idx="19">
                  <c:v>-7.7</c:v>
                </c:pt>
                <c:pt idx="20">
                  <c:v>-6.8</c:v>
                </c:pt>
                <c:pt idx="21">
                  <c:v>-15.8</c:v>
                </c:pt>
                <c:pt idx="22">
                  <c:v>-14.1</c:v>
                </c:pt>
                <c:pt idx="23">
                  <c:v>-9</c:v>
                </c:pt>
                <c:pt idx="24">
                  <c:v>-12.4</c:v>
                </c:pt>
                <c:pt idx="25">
                  <c:v>-7.6</c:v>
                </c:pt>
                <c:pt idx="26">
                  <c:v>-14.9</c:v>
                </c:pt>
                <c:pt idx="27">
                  <c:v>-3</c:v>
                </c:pt>
                <c:pt idx="28">
                  <c:v>-6.5</c:v>
                </c:pt>
                <c:pt idx="29">
                  <c:v>-8.6</c:v>
                </c:pt>
                <c:pt idx="30">
                  <c:v>-9.2</c:v>
                </c:pt>
                <c:pt idx="31">
                  <c:v>-11.4</c:v>
                </c:pt>
                <c:pt idx="32">
                  <c:v>-3.8</c:v>
                </c:pt>
                <c:pt idx="33">
                  <c:v>-5.2</c:v>
                </c:pt>
                <c:pt idx="34">
                  <c:v>-7.4</c:v>
                </c:pt>
                <c:pt idx="35">
                  <c:v>1.8</c:v>
                </c:pt>
                <c:pt idx="36">
                  <c:v>1.4</c:v>
                </c:pt>
                <c:pt idx="37">
                  <c:v>2.4</c:v>
                </c:pt>
                <c:pt idx="38">
                  <c:v>-3.9</c:v>
                </c:pt>
                <c:pt idx="39">
                  <c:v>-6.4</c:v>
                </c:pt>
                <c:pt idx="40">
                  <c:v>-5.4</c:v>
                </c:pt>
                <c:pt idx="41">
                  <c:v>-4</c:v>
                </c:pt>
                <c:pt idx="42">
                  <c:v>-5.4</c:v>
                </c:pt>
                <c:pt idx="43">
                  <c:v>-4.1</c:v>
                </c:pt>
                <c:pt idx="44">
                  <c:v>-3.8</c:v>
                </c:pt>
                <c:pt idx="45">
                  <c:v>1.5</c:v>
                </c:pt>
                <c:pt idx="46">
                  <c:v>0.9</c:v>
                </c:pt>
                <c:pt idx="47">
                  <c:v>0</c:v>
                </c:pt>
                <c:pt idx="48">
                  <c:v>-0.5</c:v>
                </c:pt>
                <c:pt idx="49">
                  <c:v>-0.7</c:v>
                </c:pt>
                <c:pt idx="50">
                  <c:v>1</c:v>
                </c:pt>
                <c:pt idx="51">
                  <c:v>-0.7</c:v>
                </c:pt>
                <c:pt idx="52">
                  <c:v>-1.4</c:v>
                </c:pt>
                <c:pt idx="53">
                  <c:v>-3.4</c:v>
                </c:pt>
                <c:pt idx="54">
                  <c:v>-0.2</c:v>
                </c:pt>
                <c:pt idx="55">
                  <c:v>-1.6</c:v>
                </c:pt>
                <c:pt idx="56">
                  <c:v>-2.3</c:v>
                </c:pt>
                <c:pt idx="57">
                  <c:v>-2.8</c:v>
                </c:pt>
                <c:pt idx="58">
                  <c:v>2.3</c:v>
                </c:pt>
                <c:pt idx="59">
                  <c:v>0.5</c:v>
                </c:pt>
                <c:pt idx="60">
                  <c:v>0.9</c:v>
                </c:pt>
              </c:numCache>
            </c:numRef>
          </c:val>
          <c:smooth val="0"/>
        </c:ser>
        <c:ser>
          <c:idx val="1"/>
          <c:order val="1"/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cat>
            <c:numRef>
              <c:f xml:space="preserve">'Лист1 '!$A$3:$A$63</c:f>
              <c:numCache>
                <c:formatCode>m/d/yyyy</c:formatCode>
                <c:ptCount val="61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</c:numCache>
            </c:numRef>
          </c:cat>
          <c:val>
            <c:numRef>
              <c:f xml:space="preserve">'Лист1 '!$C$2:$C$62</c:f>
              <c:numCache>
                <c:formatCode>General</c:formatCode>
                <c:ptCount val="61"/>
                <c:pt idx="0">
                  <c:v>-1</c:v>
                </c:pt>
                <c:pt idx="1">
                  <c:v>-1.2</c:v>
                </c:pt>
                <c:pt idx="2">
                  <c:v>-0.8</c:v>
                </c:pt>
                <c:pt idx="3">
                  <c:v>-0.9</c:v>
                </c:pt>
                <c:pt idx="4">
                  <c:v>-0.4</c:v>
                </c:pt>
                <c:pt idx="5">
                  <c:v>-0.9</c:v>
                </c:pt>
                <c:pt idx="6">
                  <c:v>-0.7</c:v>
                </c:pt>
                <c:pt idx="7">
                  <c:v>-0.6</c:v>
                </c:pt>
                <c:pt idx="8">
                  <c:v>-0.9</c:v>
                </c:pt>
                <c:pt idx="9">
                  <c:v>-1.2</c:v>
                </c:pt>
                <c:pt idx="10">
                  <c:v>-1.6</c:v>
                </c:pt>
                <c:pt idx="11">
                  <c:v>-0.9</c:v>
                </c:pt>
                <c:pt idx="12">
                  <c:v>-0.6</c:v>
                </c:pt>
                <c:pt idx="13">
                  <c:v>-1</c:v>
                </c:pt>
                <c:pt idx="14">
                  <c:v>-0.5</c:v>
                </c:pt>
                <c:pt idx="15">
                  <c:v>-1.4</c:v>
                </c:pt>
                <c:pt idx="16">
                  <c:v>-0.7</c:v>
                </c:pt>
                <c:pt idx="17">
                  <c:v>-1.1</c:v>
                </c:pt>
                <c:pt idx="18">
                  <c:v>-0.7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-1.3</c:v>
                </c:pt>
                <c:pt idx="23">
                  <c:v>-0.5</c:v>
                </c:pt>
                <c:pt idx="24">
                  <c:v>-0.7</c:v>
                </c:pt>
                <c:pt idx="25">
                  <c:v>-1.5</c:v>
                </c:pt>
                <c:pt idx="26">
                  <c:v>-0.7</c:v>
                </c:pt>
                <c:pt idx="27">
                  <c:v>-0.7</c:v>
                </c:pt>
                <c:pt idx="28">
                  <c:v>-1.5</c:v>
                </c:pt>
                <c:pt idx="29">
                  <c:v>-0.7</c:v>
                </c:pt>
                <c:pt idx="30" formatCode="@">
                  <c:v>0</c:v>
                </c:pt>
                <c:pt idx="31">
                  <c:v>-1.4</c:v>
                </c:pt>
                <c:pt idx="32">
                  <c:v>-0.7</c:v>
                </c:pt>
                <c:pt idx="33">
                  <c:v>-1.2</c:v>
                </c:pt>
                <c:pt idx="34">
                  <c:v>-1.2</c:v>
                </c:pt>
                <c:pt idx="35">
                  <c:v>-1.4</c:v>
                </c:pt>
                <c:pt idx="36">
                  <c:v>-0.7</c:v>
                </c:pt>
                <c:pt idx="37">
                  <c:v>-0.9</c:v>
                </c:pt>
                <c:pt idx="38">
                  <c:v>-0.9</c:v>
                </c:pt>
                <c:pt idx="39">
                  <c:v>-0.7</c:v>
                </c:pt>
                <c:pt idx="40">
                  <c:v>-0.5</c:v>
                </c:pt>
                <c:pt idx="41">
                  <c:v>-0.4</c:v>
                </c:pt>
                <c:pt idx="42">
                  <c:v>-0.6</c:v>
                </c:pt>
                <c:pt idx="43">
                  <c:v>-0.9</c:v>
                </c:pt>
                <c:pt idx="44">
                  <c:v>-0.3</c:v>
                </c:pt>
                <c:pt idx="45">
                  <c:v>-1.6</c:v>
                </c:pt>
                <c:pt idx="46">
                  <c:v>-1.1</c:v>
                </c:pt>
                <c:pt idx="47">
                  <c:v>-1</c:v>
                </c:pt>
                <c:pt idx="48">
                  <c:v>-1.3</c:v>
                </c:pt>
                <c:pt idx="49">
                  <c:v>-0.7</c:v>
                </c:pt>
                <c:pt idx="50">
                  <c:v>-1</c:v>
                </c:pt>
                <c:pt idx="51">
                  <c:v>-1.6</c:v>
                </c:pt>
                <c:pt idx="52">
                  <c:v>-1.3</c:v>
                </c:pt>
                <c:pt idx="53">
                  <c:v>-0.8</c:v>
                </c:pt>
                <c:pt idx="54">
                  <c:v>-1.6</c:v>
                </c:pt>
                <c:pt idx="55">
                  <c:v>-0.9</c:v>
                </c:pt>
                <c:pt idx="56">
                  <c:v>-1</c:v>
                </c:pt>
                <c:pt idx="57">
                  <c:v>-0.8</c:v>
                </c:pt>
                <c:pt idx="58">
                  <c:v>-0.7</c:v>
                </c:pt>
                <c:pt idx="59">
                  <c:v>-1.4</c:v>
                </c:pt>
                <c:pt idx="60">
                  <c:v>-1.5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511721991"/>
        <c:axId val="511721992"/>
      </c:lineChart>
      <c:dateAx>
        <c:axId val="511721991"/>
        <c:scaling>
          <c:orientation val="minMax"/>
        </c:scaling>
        <c:delete val="0"/>
        <c:axPos val="b"/>
        <c:numFmt formatCode="m/d/yyyy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Liberation Sans"/>
                <a:ea typeface="Liberation Sans"/>
                <a:cs typeface="Liberation Sans"/>
              </a:defRPr>
            </a:pPr>
            <a:endParaRPr lang="ru-RU"/>
          </a:p>
        </c:txPr>
        <c:crossAx val="511721992"/>
        <c:crosses val="autoZero"/>
        <c:auto val="1"/>
        <c:lblOffset val="100"/>
        <c:baseTimeUnit val="days"/>
        <c:majorUnit val="5.000000"/>
        <c:minorUnit val="5.000000"/>
      </c:dateAx>
      <c:valAx>
        <c:axId val="51172199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Liberation Sans"/>
                <a:ea typeface="Liberation Sans"/>
                <a:cs typeface="Liberation Sans"/>
              </a:defRPr>
            </a:pPr>
            <a:endParaRPr lang="ru-RU"/>
          </a:p>
        </c:txPr>
        <c:crossAx val="511721991"/>
        <c:crosses val="autoZero"/>
        <c:crossesAt val="1.000000"/>
        <c:crossBetween val="midCat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>
      <a:off x="3386135" y="28798833"/>
      <a:ext cx="7272338" cy="5850731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319086</xdr:colOff>
      <xdr:row>126</xdr:row>
      <xdr:rowOff>23808</xdr:rowOff>
    </xdr:from>
    <xdr:to>
      <xdr:col>14</xdr:col>
      <xdr:colOff>914396</xdr:colOff>
      <xdr:row>158</xdr:row>
      <xdr:rowOff>83340</xdr:rowOff>
    </xdr:to>
    <xdr:graphicFrame>
      <xdr:nvGraphicFramePr>
        <xdr:cNvPr id="1141227274" name="Диаграмма 1141227273"/>
        <xdr:cNvGraphicFramePr>
          <a:graphicFrameLocks xmlns:a="http://schemas.openxmlformats.org/drawingml/2006/main"/>
        </xdr:cNvGraphicFramePr>
      </xdr:nvGraphicFramePr>
      <xdr:xfrm>
        <a:off x="3386135" y="28798833"/>
        <a:ext cx="7272338" cy="585073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1" topLeftCell="A2" activePane="bottomLeft" state="frozen"/>
      <selection activeCell="B127" activeCellId="0" sqref="B127"/>
    </sheetView>
  </sheetViews>
  <sheetFormatPr defaultRowHeight="14.25"/>
  <cols>
    <col customWidth="1" min="1" max="1" width="10.875"/>
    <col bestFit="1" customWidth="1" min="2" max="3" style="1" width="11.5"/>
    <col bestFit="1" customWidth="1" min="4" max="5" width="6.375"/>
    <col bestFit="1" customWidth="1" min="6" max="6" width="6.5"/>
    <col customWidth="1" min="7" max="7" width="10.5"/>
    <col bestFit="1" customWidth="1" min="8" max="8" width="8.75"/>
    <col bestFit="1" customWidth="1" min="9" max="9" width="10.375"/>
    <col customWidth="1" min="10" max="10" width="6.125"/>
    <col bestFit="1" customWidth="1" min="11" max="11" width="5.875"/>
    <col bestFit="1" customWidth="1" min="12" max="12" width="12.75"/>
    <col min="13" max="13" style="2" width="9"/>
    <col bestFit="1" customWidth="1" min="14" max="14" width="14.875"/>
    <col bestFit="1" customWidth="1" min="15" max="15" width="8.5"/>
    <col bestFit="1" customWidth="1" min="16" max="16" width="10.125"/>
    <col bestFit="1" customWidth="1" min="17" max="17" style="3" width="8.5"/>
    <col bestFit="1" customWidth="1" min="18" max="18" style="3" width="10.125"/>
    <col bestFit="1" customWidth="1" min="19" max="19" width="14.875"/>
    <col bestFit="1" customWidth="1" min="20" max="20" width="8.5"/>
    <col bestFit="1" customWidth="1" min="21" max="21" width="10.125"/>
    <col bestFit="1" customWidth="1" min="22" max="22" width="8.5"/>
    <col customWidth="1" min="23" max="23" width="10.125"/>
    <col customWidth="1" min="25" max="25" style="4" width="17.375"/>
    <col customWidth="1" min="26" max="26" style="4" width="17.25"/>
  </cols>
  <sheetData>
    <row r="1" s="5" customFormat="1" ht="42.75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5" t="s">
        <v>15</v>
      </c>
      <c r="Q1" s="16" t="s">
        <v>16</v>
      </c>
      <c r="R1" s="17" t="s">
        <v>17</v>
      </c>
      <c r="S1" s="14" t="s">
        <v>18</v>
      </c>
      <c r="T1" s="15" t="s">
        <v>19</v>
      </c>
      <c r="U1" s="15" t="s">
        <v>20</v>
      </c>
      <c r="V1" s="15" t="s">
        <v>21</v>
      </c>
      <c r="W1" s="12" t="s">
        <v>22</v>
      </c>
      <c r="X1" s="5"/>
      <c r="Y1" s="18" t="s">
        <v>23</v>
      </c>
      <c r="Z1" s="19" t="s">
        <v>24</v>
      </c>
      <c r="AA1" s="5"/>
      <c r="AB1" s="5"/>
    </row>
    <row r="2" ht="15">
      <c r="A2" s="20">
        <v>45748</v>
      </c>
      <c r="B2" s="21">
        <v>-11</v>
      </c>
      <c r="C2" s="22">
        <v>-1</v>
      </c>
      <c r="D2" s="23">
        <v>0</v>
      </c>
      <c r="E2" s="23">
        <v>12</v>
      </c>
      <c r="F2" s="24">
        <v>1240</v>
      </c>
      <c r="G2" s="23" t="s">
        <v>25</v>
      </c>
      <c r="H2" s="25">
        <v>4.5999999999999996</v>
      </c>
      <c r="I2" s="25">
        <v>4.5999999999999996</v>
      </c>
      <c r="J2" s="25">
        <v>6.2000000000000002</v>
      </c>
      <c r="K2" s="25">
        <v>-1.1000000000000001</v>
      </c>
      <c r="L2" s="26" t="s">
        <v>26</v>
      </c>
      <c r="M2" s="2">
        <f t="shared" ref="M2:M9" si="0">0.053*B2-0.00048*F2-0.0079*E2-0.61*H2+2.4</f>
        <v>-1.6789999999999998</v>
      </c>
      <c r="N2" s="27">
        <v>3</v>
      </c>
      <c r="O2" s="28">
        <v>45.211074188594502</v>
      </c>
      <c r="P2" s="28">
        <v>54.091780976984197</v>
      </c>
      <c r="Q2" s="29">
        <v>8</v>
      </c>
      <c r="R2" s="30">
        <v>16</v>
      </c>
      <c r="S2" s="27" t="s">
        <v>25</v>
      </c>
      <c r="T2" s="31" t="s">
        <v>25</v>
      </c>
      <c r="U2" s="31" t="s">
        <v>25</v>
      </c>
      <c r="V2" s="31" t="s">
        <v>25</v>
      </c>
      <c r="W2" s="32" t="s">
        <v>25</v>
      </c>
      <c r="Y2" s="33">
        <v>126462.796875</v>
      </c>
      <c r="Z2" s="33">
        <v>0</v>
      </c>
    </row>
    <row r="3" ht="15">
      <c r="A3" s="34">
        <v>45749</v>
      </c>
      <c r="B3" s="35">
        <v>-7.2999999999999998</v>
      </c>
      <c r="C3" s="36">
        <v>-1.2</v>
      </c>
      <c r="D3" s="37">
        <v>0</v>
      </c>
      <c r="E3" s="37">
        <v>25</v>
      </c>
      <c r="F3" s="38">
        <v>1240</v>
      </c>
      <c r="G3" s="37" t="s">
        <v>25</v>
      </c>
      <c r="H3" s="39">
        <v>4.7000000000000002</v>
      </c>
      <c r="I3" s="39">
        <v>4.7000000000000002</v>
      </c>
      <c r="J3" s="39">
        <v>8.6999999999999993</v>
      </c>
      <c r="K3" s="39">
        <v>-1.3999999999999999</v>
      </c>
      <c r="L3" s="40" t="s">
        <v>26</v>
      </c>
      <c r="M3" s="2">
        <f t="shared" si="0"/>
        <v>-1.6465999999999998</v>
      </c>
      <c r="N3" s="41">
        <v>3</v>
      </c>
      <c r="O3" s="42">
        <v>45.030566819006602</v>
      </c>
      <c r="P3" s="42">
        <v>54.100406880375097</v>
      </c>
      <c r="Q3" s="43">
        <v>8</v>
      </c>
      <c r="R3" s="44">
        <v>16</v>
      </c>
      <c r="S3" s="41" t="s">
        <v>25</v>
      </c>
      <c r="T3" s="39" t="s">
        <v>25</v>
      </c>
      <c r="U3" s="39" t="s">
        <v>25</v>
      </c>
      <c r="V3" s="39" t="s">
        <v>25</v>
      </c>
      <c r="W3" s="40" t="s">
        <v>25</v>
      </c>
      <c r="Y3" s="45">
        <v>127062.796875</v>
      </c>
      <c r="Z3" s="46">
        <v>0</v>
      </c>
    </row>
    <row r="4" ht="15">
      <c r="A4" s="34">
        <v>45750</v>
      </c>
      <c r="B4" s="35">
        <v>-14.1</v>
      </c>
      <c r="C4" s="36">
        <v>-0.80000000000000004</v>
      </c>
      <c r="D4" s="37">
        <v>0</v>
      </c>
      <c r="E4" s="37">
        <v>11</v>
      </c>
      <c r="F4" s="38">
        <v>1240</v>
      </c>
      <c r="G4" s="37" t="s">
        <v>25</v>
      </c>
      <c r="H4" s="39">
        <v>4.6500000000000004</v>
      </c>
      <c r="I4" s="39">
        <v>4.6500000000000004</v>
      </c>
      <c r="J4" s="39">
        <v>7.9000000000000004</v>
      </c>
      <c r="K4" s="39">
        <v>-1.1000000000000001</v>
      </c>
      <c r="L4" s="40" t="s">
        <v>26</v>
      </c>
      <c r="M4" s="2">
        <f t="shared" si="0"/>
        <v>-1.8659000000000003</v>
      </c>
      <c r="N4" s="41">
        <v>3</v>
      </c>
      <c r="O4" s="42">
        <v>45.124970977385097</v>
      </c>
      <c r="P4" s="42">
        <v>53.848734644439297</v>
      </c>
      <c r="Q4" s="43">
        <v>7</v>
      </c>
      <c r="R4" s="44">
        <v>17</v>
      </c>
      <c r="S4" s="41" t="s">
        <v>25</v>
      </c>
      <c r="T4" s="39" t="s">
        <v>25</v>
      </c>
      <c r="U4" s="39" t="s">
        <v>25</v>
      </c>
      <c r="V4" s="39" t="s">
        <v>25</v>
      </c>
      <c r="W4" s="40" t="s">
        <v>25</v>
      </c>
      <c r="Y4" s="46">
        <v>124643.8125</v>
      </c>
      <c r="Z4" s="46">
        <v>0</v>
      </c>
    </row>
    <row r="5" ht="15">
      <c r="A5" s="34">
        <v>45751</v>
      </c>
      <c r="B5" s="35">
        <v>-18.399999999999999</v>
      </c>
      <c r="C5" s="36">
        <v>-0.90000000000000002</v>
      </c>
      <c r="D5" s="37">
        <v>0</v>
      </c>
      <c r="E5" s="37">
        <v>8</v>
      </c>
      <c r="F5" s="38">
        <v>1240</v>
      </c>
      <c r="G5" s="37" t="s">
        <v>25</v>
      </c>
      <c r="H5" s="39">
        <v>4.7000000000000002</v>
      </c>
      <c r="I5" s="39">
        <v>4.7000000000000002</v>
      </c>
      <c r="J5" s="39">
        <v>8</v>
      </c>
      <c r="K5" s="39">
        <v>-0.90000000000000002</v>
      </c>
      <c r="L5" s="40" t="s">
        <v>26</v>
      </c>
      <c r="M5" s="2">
        <f t="shared" si="0"/>
        <v>-2.1005999999999996</v>
      </c>
      <c r="N5" s="41">
        <v>3</v>
      </c>
      <c r="O5" s="42">
        <v>44.9434657299077</v>
      </c>
      <c r="P5" s="42">
        <v>54.249618082443902</v>
      </c>
      <c r="Q5" s="43">
        <v>7</v>
      </c>
      <c r="R5" s="44">
        <v>17</v>
      </c>
      <c r="S5" s="41" t="s">
        <v>25</v>
      </c>
      <c r="T5" s="39" t="s">
        <v>25</v>
      </c>
      <c r="U5" s="39" t="s">
        <v>25</v>
      </c>
      <c r="V5" s="39" t="s">
        <v>25</v>
      </c>
      <c r="W5" s="40" t="s">
        <v>25</v>
      </c>
      <c r="Y5" s="46">
        <v>122657.4375</v>
      </c>
      <c r="Z5" s="46">
        <v>6.7778052762150764</v>
      </c>
    </row>
    <row r="6" ht="15">
      <c r="A6" s="34">
        <v>45752</v>
      </c>
      <c r="B6" s="35">
        <v>-16.199999999999999</v>
      </c>
      <c r="C6" s="36">
        <v>-0.40000000000000002</v>
      </c>
      <c r="D6" s="37">
        <v>0</v>
      </c>
      <c r="E6" s="37">
        <v>14</v>
      </c>
      <c r="F6" s="38">
        <v>1240</v>
      </c>
      <c r="G6" s="37" t="s">
        <v>25</v>
      </c>
      <c r="H6" s="39">
        <v>4.7000000000000002</v>
      </c>
      <c r="I6" s="39">
        <v>4.7000000000000002</v>
      </c>
      <c r="J6" s="39">
        <v>9.9000000000000004</v>
      </c>
      <c r="K6" s="39">
        <v>-0.5</v>
      </c>
      <c r="L6" s="40" t="s">
        <v>26</v>
      </c>
      <c r="M6" s="2">
        <f t="shared" si="0"/>
        <v>-2.0314000000000001</v>
      </c>
      <c r="N6" s="41">
        <v>3</v>
      </c>
      <c r="O6" s="42">
        <v>45.042686647044299</v>
      </c>
      <c r="P6" s="42">
        <v>54.881435208320603</v>
      </c>
      <c r="Q6" s="43">
        <v>7</v>
      </c>
      <c r="R6" s="44">
        <v>16</v>
      </c>
      <c r="S6" s="41" t="s">
        <v>25</v>
      </c>
      <c r="T6" s="39" t="s">
        <v>25</v>
      </c>
      <c r="U6" s="39" t="s">
        <v>25</v>
      </c>
      <c r="V6" s="39" t="s">
        <v>25</v>
      </c>
      <c r="W6" s="40" t="s">
        <v>25</v>
      </c>
      <c r="Y6" s="46">
        <v>123197.9140625</v>
      </c>
      <c r="Z6" s="46">
        <v>0</v>
      </c>
    </row>
    <row r="7" ht="15">
      <c r="A7" s="34">
        <v>45753</v>
      </c>
      <c r="B7" s="35">
        <v>-17.100000000000001</v>
      </c>
      <c r="C7" s="36">
        <v>-0.90000000000000002</v>
      </c>
      <c r="D7" s="37">
        <v>0</v>
      </c>
      <c r="E7" s="37">
        <v>9</v>
      </c>
      <c r="F7" s="38">
        <v>1270</v>
      </c>
      <c r="G7" s="37" t="s">
        <v>25</v>
      </c>
      <c r="H7" s="39">
        <v>4.7999999999999998</v>
      </c>
      <c r="I7" s="39">
        <v>4.7999999999999998</v>
      </c>
      <c r="J7" s="39">
        <v>7.0999999999999996</v>
      </c>
      <c r="K7" s="39">
        <v>-1.1000000000000001</v>
      </c>
      <c r="L7" s="40" t="s">
        <v>26</v>
      </c>
      <c r="M7" s="2">
        <f t="shared" si="0"/>
        <v>-2.1149999999999998</v>
      </c>
      <c r="N7" s="41">
        <v>3</v>
      </c>
      <c r="O7" s="42">
        <v>44.932921978632599</v>
      </c>
      <c r="P7" s="42">
        <v>55.358466754577798</v>
      </c>
      <c r="Q7" s="43">
        <v>7</v>
      </c>
      <c r="R7" s="44">
        <v>16</v>
      </c>
      <c r="S7" s="41" t="s">
        <v>25</v>
      </c>
      <c r="T7" s="39" t="s">
        <v>25</v>
      </c>
      <c r="U7" s="39" t="s">
        <v>25</v>
      </c>
      <c r="V7" s="39" t="s">
        <v>25</v>
      </c>
      <c r="W7" s="40" t="s">
        <v>25</v>
      </c>
      <c r="Y7" s="46">
        <v>124270.2109375</v>
      </c>
      <c r="Z7" s="46">
        <v>0</v>
      </c>
    </row>
    <row r="8" ht="15">
      <c r="A8" s="34">
        <v>45754</v>
      </c>
      <c r="B8" s="35">
        <v>-15</v>
      </c>
      <c r="C8" s="36">
        <v>-0.69999999999999996</v>
      </c>
      <c r="D8" s="37">
        <v>0</v>
      </c>
      <c r="E8" s="37">
        <v>12</v>
      </c>
      <c r="F8" s="38">
        <v>1270</v>
      </c>
      <c r="G8" s="37" t="s">
        <v>25</v>
      </c>
      <c r="H8" s="39">
        <v>4.7999999999999998</v>
      </c>
      <c r="I8" s="39">
        <v>4.7999999999999998</v>
      </c>
      <c r="J8" s="39">
        <v>8</v>
      </c>
      <c r="K8" s="39">
        <v>-0.90000000000000002</v>
      </c>
      <c r="L8" s="40" t="s">
        <v>26</v>
      </c>
      <c r="M8" s="2">
        <f t="shared" si="0"/>
        <v>-2.0273999999999996</v>
      </c>
      <c r="N8" s="41">
        <v>3</v>
      </c>
      <c r="O8" s="47">
        <v>44.841220096040701</v>
      </c>
      <c r="P8" s="42">
        <v>55.147529866739603</v>
      </c>
      <c r="Q8" s="43">
        <v>7</v>
      </c>
      <c r="R8" s="44">
        <v>16</v>
      </c>
      <c r="S8" s="41" t="s">
        <v>25</v>
      </c>
      <c r="T8" s="39" t="s">
        <v>25</v>
      </c>
      <c r="U8" s="39" t="s">
        <v>25</v>
      </c>
      <c r="V8" s="39" t="s">
        <v>25</v>
      </c>
      <c r="W8" s="40" t="s">
        <v>25</v>
      </c>
      <c r="Y8" s="46">
        <v>126464.7109375</v>
      </c>
      <c r="Z8" s="46">
        <v>0</v>
      </c>
    </row>
    <row r="9" ht="15">
      <c r="A9" s="34">
        <v>45755</v>
      </c>
      <c r="B9" s="35">
        <v>-13.5</v>
      </c>
      <c r="C9" s="36">
        <v>-0.59999999999999998</v>
      </c>
      <c r="D9" s="37">
        <v>0</v>
      </c>
      <c r="E9" s="37">
        <v>13</v>
      </c>
      <c r="F9" s="38">
        <v>1300</v>
      </c>
      <c r="G9" s="37" t="s">
        <v>25</v>
      </c>
      <c r="H9" s="39">
        <v>4.7999999999999998</v>
      </c>
      <c r="I9" s="39">
        <v>4.7999999999999998</v>
      </c>
      <c r="J9" s="39">
        <v>8.8000000000000007</v>
      </c>
      <c r="K9" s="39">
        <v>-1</v>
      </c>
      <c r="L9" s="40" t="s">
        <v>26</v>
      </c>
      <c r="M9" s="2">
        <f t="shared" si="0"/>
        <v>-1.9702000000000006</v>
      </c>
      <c r="N9" s="41">
        <v>3</v>
      </c>
      <c r="O9" s="42">
        <v>44.744924174479898</v>
      </c>
      <c r="P9" s="42">
        <v>54.021889779242301</v>
      </c>
      <c r="Q9" s="43">
        <v>8</v>
      </c>
      <c r="R9" s="44">
        <v>17</v>
      </c>
      <c r="S9" s="41" t="s">
        <v>25</v>
      </c>
      <c r="T9" s="39" t="s">
        <v>25</v>
      </c>
      <c r="U9" s="39" t="s">
        <v>25</v>
      </c>
      <c r="V9" s="39" t="s">
        <v>25</v>
      </c>
      <c r="W9" s="40" t="s">
        <v>25</v>
      </c>
      <c r="Y9" s="46">
        <v>119413.12500000001</v>
      </c>
      <c r="Z9" s="46">
        <v>1219.5210147037869</v>
      </c>
    </row>
    <row r="10" ht="15">
      <c r="A10" s="34">
        <v>45756</v>
      </c>
      <c r="B10" s="35">
        <v>-15.199999999999999</v>
      </c>
      <c r="C10" s="36">
        <v>-0.90000000000000002</v>
      </c>
      <c r="D10" s="37">
        <v>0</v>
      </c>
      <c r="E10" s="37">
        <v>12</v>
      </c>
      <c r="F10" s="38">
        <v>1300</v>
      </c>
      <c r="G10" s="37" t="s">
        <v>25</v>
      </c>
      <c r="H10" s="39">
        <v>4.9000000000000004</v>
      </c>
      <c r="I10" s="39">
        <v>4.9000000000000004</v>
      </c>
      <c r="J10" s="39">
        <v>9.0999999999999996</v>
      </c>
      <c r="K10" s="39">
        <v>-1.2</v>
      </c>
      <c r="L10" s="40" t="s">
        <v>26</v>
      </c>
      <c r="M10" s="2">
        <f t="shared" ref="M10:M32" si="1">0.053*B10-0.00048*F10-0.0079*E10-0.61*H10+2.4</f>
        <v>-2.1134000000000008</v>
      </c>
      <c r="N10" s="41">
        <v>3</v>
      </c>
      <c r="O10" s="42">
        <v>44.652894841211797</v>
      </c>
      <c r="P10" s="42">
        <v>54.1563583419941</v>
      </c>
      <c r="Q10" s="43">
        <v>8</v>
      </c>
      <c r="R10" s="44">
        <v>17</v>
      </c>
      <c r="S10" s="41" t="s">
        <v>25</v>
      </c>
      <c r="T10" s="39" t="s">
        <v>25</v>
      </c>
      <c r="U10" s="39" t="s">
        <v>25</v>
      </c>
      <c r="V10" s="39" t="s">
        <v>25</v>
      </c>
      <c r="W10" s="40" t="s">
        <v>25</v>
      </c>
      <c r="Y10" s="46">
        <v>118370.609375</v>
      </c>
      <c r="Z10" s="46">
        <v>0</v>
      </c>
    </row>
    <row r="11" ht="15">
      <c r="A11" s="34">
        <v>45757</v>
      </c>
      <c r="B11" s="35">
        <v>-10</v>
      </c>
      <c r="C11" s="36">
        <v>-1.2</v>
      </c>
      <c r="D11" s="37">
        <v>0</v>
      </c>
      <c r="E11" s="37">
        <v>13</v>
      </c>
      <c r="F11" s="38">
        <v>1300</v>
      </c>
      <c r="G11" s="37" t="s">
        <v>25</v>
      </c>
      <c r="H11" s="39">
        <v>4.8499999999999996</v>
      </c>
      <c r="I11" s="39">
        <v>4.8499999999999996</v>
      </c>
      <c r="J11" s="39">
        <v>4.5</v>
      </c>
      <c r="K11" s="39">
        <v>-1.5</v>
      </c>
      <c r="L11" s="40" t="s">
        <v>26</v>
      </c>
      <c r="M11" s="2">
        <f t="shared" si="1"/>
        <v>-1.8151999999999995</v>
      </c>
      <c r="N11" s="41">
        <v>3</v>
      </c>
      <c r="O11" s="42">
        <v>44.674971136332097</v>
      </c>
      <c r="P11" s="42">
        <v>54.585420332918098</v>
      </c>
      <c r="Q11" s="43">
        <v>7</v>
      </c>
      <c r="R11" s="44">
        <v>16</v>
      </c>
      <c r="S11" s="41" t="s">
        <v>25</v>
      </c>
      <c r="T11" s="39" t="s">
        <v>25</v>
      </c>
      <c r="U11" s="39" t="s">
        <v>25</v>
      </c>
      <c r="V11" s="39" t="s">
        <v>25</v>
      </c>
      <c r="W11" s="40" t="s">
        <v>25</v>
      </c>
      <c r="Y11" s="46">
        <v>113172.140625</v>
      </c>
      <c r="Z11" s="46">
        <v>0</v>
      </c>
    </row>
    <row r="12" ht="15">
      <c r="A12" s="34">
        <v>45758</v>
      </c>
      <c r="B12" s="35">
        <v>-9.5</v>
      </c>
      <c r="C12" s="36">
        <v>-1.6000000000000001</v>
      </c>
      <c r="D12" s="37">
        <v>0</v>
      </c>
      <c r="E12" s="37">
        <v>37</v>
      </c>
      <c r="F12" s="38">
        <v>1300</v>
      </c>
      <c r="G12" s="37" t="s">
        <v>25</v>
      </c>
      <c r="H12" s="39">
        <v>5</v>
      </c>
      <c r="I12" s="39">
        <v>5</v>
      </c>
      <c r="J12" s="39">
        <v>11.199999999999999</v>
      </c>
      <c r="K12" s="39">
        <v>-1.8999999999999999</v>
      </c>
      <c r="L12" s="40" t="s">
        <v>26</v>
      </c>
      <c r="M12" s="2">
        <f t="shared" si="1"/>
        <v>-2.0697999999999994</v>
      </c>
      <c r="N12" s="41">
        <v>3</v>
      </c>
      <c r="O12" s="42">
        <v>44.562260716535398</v>
      </c>
      <c r="P12" s="42">
        <v>54.5352876689699</v>
      </c>
      <c r="Q12" s="43">
        <v>8</v>
      </c>
      <c r="R12" s="44">
        <v>15</v>
      </c>
      <c r="S12" s="41" t="s">
        <v>25</v>
      </c>
      <c r="T12" s="39" t="s">
        <v>25</v>
      </c>
      <c r="U12" s="39" t="s">
        <v>25</v>
      </c>
      <c r="V12" s="39" t="s">
        <v>25</v>
      </c>
      <c r="W12" s="40" t="s">
        <v>25</v>
      </c>
      <c r="Y12" s="46">
        <v>125626.3828125</v>
      </c>
      <c r="Z12" s="46">
        <v>0.17165389726869762</v>
      </c>
    </row>
    <row r="13" ht="15">
      <c r="A13" s="34">
        <v>45759</v>
      </c>
      <c r="B13" s="35">
        <v>-7.7000000000000002</v>
      </c>
      <c r="C13" s="36">
        <v>-0.90000000000000002</v>
      </c>
      <c r="D13" s="37">
        <v>0</v>
      </c>
      <c r="E13" s="37">
        <v>33</v>
      </c>
      <c r="F13" s="38">
        <v>1350</v>
      </c>
      <c r="G13" s="37" t="s">
        <v>25</v>
      </c>
      <c r="H13" s="39">
        <v>5</v>
      </c>
      <c r="I13" s="39">
        <v>5</v>
      </c>
      <c r="J13" s="39">
        <v>13</v>
      </c>
      <c r="K13" s="39">
        <v>-1.1000000000000001</v>
      </c>
      <c r="L13" s="40" t="s">
        <v>26</v>
      </c>
      <c r="M13" s="2">
        <f t="shared" si="1"/>
        <v>-1.9667999999999997</v>
      </c>
      <c r="N13" s="41">
        <v>3</v>
      </c>
      <c r="O13" s="47">
        <v>44.401138696228998</v>
      </c>
      <c r="P13" s="42">
        <v>53.894663855455498</v>
      </c>
      <c r="Q13" s="43">
        <v>8</v>
      </c>
      <c r="R13" s="44">
        <v>16</v>
      </c>
      <c r="S13" s="41" t="s">
        <v>25</v>
      </c>
      <c r="T13" s="39" t="s">
        <v>25</v>
      </c>
      <c r="U13" s="39" t="s">
        <v>25</v>
      </c>
      <c r="V13" s="39" t="s">
        <v>25</v>
      </c>
      <c r="W13" s="40" t="s">
        <v>25</v>
      </c>
      <c r="Y13" s="46">
        <v>117801.6484375</v>
      </c>
      <c r="Z13" s="46">
        <v>13.481375761330128</v>
      </c>
    </row>
    <row r="14" ht="15">
      <c r="A14" s="34">
        <v>45760</v>
      </c>
      <c r="B14" s="35">
        <v>-6</v>
      </c>
      <c r="C14" s="36">
        <v>-0.59999999999999998</v>
      </c>
      <c r="D14" s="37">
        <v>0</v>
      </c>
      <c r="E14" s="37">
        <v>41</v>
      </c>
      <c r="F14" s="38">
        <v>1350</v>
      </c>
      <c r="G14" s="37" t="s">
        <v>25</v>
      </c>
      <c r="H14" s="39">
        <v>5.0999999999999996</v>
      </c>
      <c r="I14" s="39">
        <v>5.0999999999999996</v>
      </c>
      <c r="J14" s="39">
        <v>12</v>
      </c>
      <c r="K14" s="39">
        <v>-0.69999999999999996</v>
      </c>
      <c r="L14" s="40" t="s">
        <v>26</v>
      </c>
      <c r="M14" s="2">
        <f t="shared" si="1"/>
        <v>-2.0009000000000001</v>
      </c>
      <c r="N14" s="41">
        <v>3</v>
      </c>
      <c r="O14" s="42">
        <v>44.358299158281802</v>
      </c>
      <c r="P14" s="42">
        <v>54.059270666351999</v>
      </c>
      <c r="Q14" s="43">
        <v>8</v>
      </c>
      <c r="R14" s="44">
        <v>15</v>
      </c>
      <c r="S14" s="41" t="s">
        <v>25</v>
      </c>
      <c r="T14" s="39" t="s">
        <v>25</v>
      </c>
      <c r="U14" s="39" t="s">
        <v>25</v>
      </c>
      <c r="V14" s="39" t="s">
        <v>25</v>
      </c>
      <c r="W14" s="40" t="s">
        <v>25</v>
      </c>
      <c r="Y14" s="46">
        <v>117429.2265625</v>
      </c>
      <c r="Z14" s="46">
        <v>0</v>
      </c>
    </row>
    <row r="15" ht="15">
      <c r="A15" s="34">
        <v>45761</v>
      </c>
      <c r="B15" s="35">
        <v>-8.3000000000000007</v>
      </c>
      <c r="C15" s="36">
        <v>-1</v>
      </c>
      <c r="D15" s="37">
        <v>0</v>
      </c>
      <c r="E15" s="37">
        <v>22</v>
      </c>
      <c r="F15" s="38">
        <v>1350</v>
      </c>
      <c r="G15" s="37" t="s">
        <v>25</v>
      </c>
      <c r="H15" s="39">
        <v>5</v>
      </c>
      <c r="I15" s="39">
        <v>5</v>
      </c>
      <c r="J15" s="39">
        <v>10.5</v>
      </c>
      <c r="K15" s="39">
        <v>-1.2</v>
      </c>
      <c r="L15" s="40" t="s">
        <v>26</v>
      </c>
      <c r="M15" s="2">
        <f t="shared" si="1"/>
        <v>-1.9117000000000002</v>
      </c>
      <c r="N15" s="41">
        <v>1</v>
      </c>
      <c r="O15" s="42">
        <v>44.309523137557797</v>
      </c>
      <c r="P15" s="42">
        <v>52.930409383585904</v>
      </c>
      <c r="Q15" s="43">
        <v>8</v>
      </c>
      <c r="R15" s="44">
        <v>16</v>
      </c>
      <c r="S15" s="41" t="s">
        <v>25</v>
      </c>
      <c r="T15" s="39" t="s">
        <v>25</v>
      </c>
      <c r="U15" s="39" t="s">
        <v>25</v>
      </c>
      <c r="V15" s="39" t="s">
        <v>25</v>
      </c>
      <c r="W15" s="40" t="s">
        <v>25</v>
      </c>
      <c r="Y15" s="46">
        <v>120374.89843750001</v>
      </c>
      <c r="Z15" s="46">
        <v>0</v>
      </c>
    </row>
    <row r="16" ht="15">
      <c r="A16" s="34">
        <v>45762</v>
      </c>
      <c r="B16" s="35">
        <v>-6.5</v>
      </c>
      <c r="C16" s="36">
        <v>-0.5</v>
      </c>
      <c r="D16" s="37">
        <v>0</v>
      </c>
      <c r="E16" s="37">
        <v>38</v>
      </c>
      <c r="F16" s="38">
        <v>1350</v>
      </c>
      <c r="G16" s="37" t="s">
        <v>25</v>
      </c>
      <c r="H16" s="39">
        <v>4.7999999999999998</v>
      </c>
      <c r="I16" s="39">
        <v>4.7999999999999998</v>
      </c>
      <c r="J16" s="39">
        <v>12</v>
      </c>
      <c r="K16" s="39">
        <v>-0.69999999999999996</v>
      </c>
      <c r="L16" s="40" t="s">
        <v>26</v>
      </c>
      <c r="M16" s="2">
        <f t="shared" si="1"/>
        <v>-1.8207</v>
      </c>
      <c r="N16" s="41">
        <v>1</v>
      </c>
      <c r="O16" s="42">
        <v>44.515462019503197</v>
      </c>
      <c r="P16" s="42">
        <v>51.613851825454702</v>
      </c>
      <c r="Q16" s="43">
        <v>8</v>
      </c>
      <c r="R16" s="44">
        <v>16</v>
      </c>
      <c r="S16" s="41" t="s">
        <v>25</v>
      </c>
      <c r="T16" s="39" t="s">
        <v>25</v>
      </c>
      <c r="U16" s="39" t="s">
        <v>25</v>
      </c>
      <c r="V16" s="39" t="s">
        <v>25</v>
      </c>
      <c r="W16" s="40" t="s">
        <v>25</v>
      </c>
      <c r="Y16" s="46">
        <v>103849.0078125</v>
      </c>
      <c r="Z16" s="46">
        <v>22258.918762207031</v>
      </c>
    </row>
    <row r="17" ht="15">
      <c r="A17" s="34">
        <v>45763</v>
      </c>
      <c r="B17" s="35">
        <v>-5.0999999999999996</v>
      </c>
      <c r="C17" s="36">
        <v>-1.3999999999999999</v>
      </c>
      <c r="D17" s="37">
        <v>0</v>
      </c>
      <c r="E17" s="37">
        <v>50</v>
      </c>
      <c r="F17" s="38">
        <v>1300</v>
      </c>
      <c r="G17" s="37" t="s">
        <v>25</v>
      </c>
      <c r="H17" s="39">
        <v>4.8200000000000003</v>
      </c>
      <c r="I17" s="39">
        <v>4.8200000000000003</v>
      </c>
      <c r="J17" s="39">
        <v>12.1</v>
      </c>
      <c r="K17" s="39">
        <v>-1.7</v>
      </c>
      <c r="L17" s="40" t="s">
        <v>26</v>
      </c>
      <c r="M17" s="2">
        <f t="shared" si="1"/>
        <v>-1.8294999999999999</v>
      </c>
      <c r="N17" s="41">
        <v>1</v>
      </c>
      <c r="O17" s="42">
        <v>44.846386248844603</v>
      </c>
      <c r="P17" s="42">
        <v>51.875791245831401</v>
      </c>
      <c r="Q17" s="43">
        <v>8</v>
      </c>
      <c r="R17" s="44">
        <v>16</v>
      </c>
      <c r="S17" s="41" t="s">
        <v>25</v>
      </c>
      <c r="T17" s="39" t="s">
        <v>25</v>
      </c>
      <c r="U17" s="39" t="s">
        <v>25</v>
      </c>
      <c r="V17" s="39" t="s">
        <v>25</v>
      </c>
      <c r="W17" s="40" t="s">
        <v>25</v>
      </c>
      <c r="Y17" s="46">
        <v>103643.40625</v>
      </c>
      <c r="Z17" s="46">
        <v>0</v>
      </c>
    </row>
    <row r="18" ht="15">
      <c r="A18" s="34">
        <v>45764</v>
      </c>
      <c r="B18" s="35">
        <v>-14</v>
      </c>
      <c r="C18" s="36">
        <v>-0.69999999999999996</v>
      </c>
      <c r="D18" s="37">
        <v>0</v>
      </c>
      <c r="E18" s="37">
        <v>5</v>
      </c>
      <c r="F18" s="38">
        <v>900</v>
      </c>
      <c r="G18" s="37" t="s">
        <v>25</v>
      </c>
      <c r="H18" s="39">
        <v>4.4299999999999997</v>
      </c>
      <c r="I18" s="39">
        <v>4.4500000000000002</v>
      </c>
      <c r="J18" s="39">
        <v>7.5999999999999996</v>
      </c>
      <c r="K18" s="39">
        <v>-1.8</v>
      </c>
      <c r="L18" s="40" t="s">
        <v>26</v>
      </c>
      <c r="M18" s="2">
        <f t="shared" si="1"/>
        <v>-1.5158</v>
      </c>
      <c r="N18" s="41">
        <v>1</v>
      </c>
      <c r="O18" s="42">
        <v>45.575875647862802</v>
      </c>
      <c r="P18" s="42">
        <v>53.481786749671997</v>
      </c>
      <c r="Q18" s="43">
        <v>6</v>
      </c>
      <c r="R18" s="44">
        <v>16</v>
      </c>
      <c r="S18" s="41" t="s">
        <v>25</v>
      </c>
      <c r="T18" s="39" t="s">
        <v>25</v>
      </c>
      <c r="U18" s="39" t="s">
        <v>25</v>
      </c>
      <c r="V18" s="39" t="s">
        <v>25</v>
      </c>
      <c r="W18" s="40" t="s">
        <v>25</v>
      </c>
      <c r="Y18" s="46">
        <v>110855.85937500001</v>
      </c>
      <c r="Z18" s="46">
        <v>0</v>
      </c>
    </row>
    <row r="19" ht="15">
      <c r="A19" s="34">
        <v>45765</v>
      </c>
      <c r="B19" s="35">
        <v>-14.800000000000001</v>
      </c>
      <c r="C19" s="36">
        <v>-1.1000000000000001</v>
      </c>
      <c r="D19" s="37">
        <v>0</v>
      </c>
      <c r="E19" s="37">
        <v>6</v>
      </c>
      <c r="F19" s="38">
        <v>1320</v>
      </c>
      <c r="G19" s="37" t="s">
        <v>25</v>
      </c>
      <c r="H19" s="39">
        <v>4.6600000000000001</v>
      </c>
      <c r="I19" s="39">
        <v>4.6600000000000001</v>
      </c>
      <c r="J19" s="39">
        <v>3.2999999999999998</v>
      </c>
      <c r="K19" s="39">
        <v>-1.3</v>
      </c>
      <c r="L19" s="40" t="s">
        <v>26</v>
      </c>
      <c r="M19" s="2">
        <f t="shared" si="1"/>
        <v>-1.9079999999999999</v>
      </c>
      <c r="N19" s="41">
        <v>1</v>
      </c>
      <c r="O19" s="42">
        <v>44.550403123829099</v>
      </c>
      <c r="P19" s="42">
        <v>54.0502678471141</v>
      </c>
      <c r="Q19" s="43">
        <v>7</v>
      </c>
      <c r="R19" s="44">
        <v>16</v>
      </c>
      <c r="S19" s="41" t="s">
        <v>25</v>
      </c>
      <c r="T19" s="39" t="s">
        <v>25</v>
      </c>
      <c r="U19" s="39" t="s">
        <v>25</v>
      </c>
      <c r="V19" s="39" t="s">
        <v>25</v>
      </c>
      <c r="W19" s="40" t="s">
        <v>25</v>
      </c>
      <c r="Y19" s="46">
        <v>112526.9296875</v>
      </c>
      <c r="Z19" s="46">
        <v>0</v>
      </c>
    </row>
    <row r="20" ht="15">
      <c r="A20" s="34">
        <v>45766</v>
      </c>
      <c r="B20" s="35">
        <v>-11</v>
      </c>
      <c r="C20" s="36">
        <v>-0.69999999999999996</v>
      </c>
      <c r="D20" s="37">
        <v>0</v>
      </c>
      <c r="E20" s="37">
        <v>18</v>
      </c>
      <c r="F20" s="38">
        <v>1320</v>
      </c>
      <c r="G20" s="37" t="s">
        <v>25</v>
      </c>
      <c r="H20" s="39">
        <v>4.75</v>
      </c>
      <c r="I20" s="39">
        <v>4.75</v>
      </c>
      <c r="J20" s="39">
        <v>8</v>
      </c>
      <c r="K20" s="39">
        <v>-1</v>
      </c>
      <c r="L20" s="40" t="s">
        <v>26</v>
      </c>
      <c r="M20" s="2">
        <f t="shared" si="1"/>
        <v>-1.8563000000000005</v>
      </c>
      <c r="N20" s="41">
        <v>1</v>
      </c>
      <c r="O20" s="42">
        <v>44.346353559449902</v>
      </c>
      <c r="P20" s="42">
        <v>53.404342563196501</v>
      </c>
      <c r="Q20" s="43">
        <v>7</v>
      </c>
      <c r="R20" s="44">
        <v>16</v>
      </c>
      <c r="S20" s="41" t="s">
        <v>25</v>
      </c>
      <c r="T20" s="39" t="s">
        <v>25</v>
      </c>
      <c r="U20" s="39" t="s">
        <v>25</v>
      </c>
      <c r="V20" s="39" t="s">
        <v>25</v>
      </c>
      <c r="W20" s="40" t="s">
        <v>25</v>
      </c>
      <c r="Y20" s="46">
        <v>116769.9453125</v>
      </c>
      <c r="Z20" s="46">
        <v>0</v>
      </c>
    </row>
    <row r="21" ht="15">
      <c r="A21" s="34">
        <v>45767</v>
      </c>
      <c r="B21" s="35">
        <v>-7.7000000000000002</v>
      </c>
      <c r="C21" s="36">
        <v>-0.5</v>
      </c>
      <c r="D21" s="37">
        <v>0</v>
      </c>
      <c r="E21" s="37">
        <v>22</v>
      </c>
      <c r="F21" s="38">
        <v>1350</v>
      </c>
      <c r="G21" s="37" t="s">
        <v>25</v>
      </c>
      <c r="H21" s="39">
        <v>4.8399999999999999</v>
      </c>
      <c r="I21" s="39">
        <v>4.8399999999999999</v>
      </c>
      <c r="J21" s="39">
        <v>6.5</v>
      </c>
      <c r="K21" s="39">
        <v>-0.69999999999999996</v>
      </c>
      <c r="L21" s="40" t="s">
        <v>26</v>
      </c>
      <c r="M21" s="2">
        <f t="shared" si="1"/>
        <v>-1.7822999999999998</v>
      </c>
      <c r="N21" s="41">
        <v>1</v>
      </c>
      <c r="O21" s="42">
        <v>44.220351713454299</v>
      </c>
      <c r="P21" s="42">
        <v>52.656743145739597</v>
      </c>
      <c r="Q21" s="43">
        <v>8</v>
      </c>
      <c r="R21" s="44">
        <v>16</v>
      </c>
      <c r="S21" s="41" t="s">
        <v>25</v>
      </c>
      <c r="T21" s="39" t="s">
        <v>25</v>
      </c>
      <c r="U21" s="39" t="s">
        <v>25</v>
      </c>
      <c r="V21" s="39" t="s">
        <v>25</v>
      </c>
      <c r="W21" s="40" t="s">
        <v>25</v>
      </c>
      <c r="Y21" s="46">
        <v>111123.34375</v>
      </c>
      <c r="Z21" s="46">
        <v>0</v>
      </c>
    </row>
    <row r="22" ht="15">
      <c r="A22" s="34">
        <v>45768</v>
      </c>
      <c r="B22" s="35">
        <v>-6.7999999999999998</v>
      </c>
      <c r="C22" s="36">
        <v>-0.5</v>
      </c>
      <c r="D22" s="37">
        <v>0</v>
      </c>
      <c r="E22" s="37">
        <v>34</v>
      </c>
      <c r="F22" s="38">
        <v>1380</v>
      </c>
      <c r="G22" s="37" t="s">
        <v>25</v>
      </c>
      <c r="H22" s="39">
        <v>4.8799999999999999</v>
      </c>
      <c r="I22" s="39">
        <v>4.8799999999999999</v>
      </c>
      <c r="J22" s="39">
        <v>12.5</v>
      </c>
      <c r="K22" s="39">
        <v>-0.69999999999999996</v>
      </c>
      <c r="L22" s="40" t="s">
        <v>26</v>
      </c>
      <c r="M22" s="2">
        <f t="shared" si="1"/>
        <v>-1.8682000000000003</v>
      </c>
      <c r="N22" s="41">
        <v>1</v>
      </c>
      <c r="O22" s="42">
        <v>43.8432732171418</v>
      </c>
      <c r="P22" s="42">
        <v>52.5156841648324</v>
      </c>
      <c r="Q22" s="43">
        <v>8</v>
      </c>
      <c r="R22" s="44">
        <v>16</v>
      </c>
      <c r="S22" s="41" t="s">
        <v>25</v>
      </c>
      <c r="T22" s="39" t="s">
        <v>25</v>
      </c>
      <c r="U22" s="39" t="s">
        <v>25</v>
      </c>
      <c r="V22" s="39" t="s">
        <v>25</v>
      </c>
      <c r="W22" s="40" t="s">
        <v>25</v>
      </c>
      <c r="Y22" s="46">
        <v>108791.703125</v>
      </c>
      <c r="Z22" s="46">
        <v>0</v>
      </c>
    </row>
    <row r="23" ht="15">
      <c r="A23" s="34">
        <v>45769</v>
      </c>
      <c r="B23" s="35">
        <v>-15.800000000000001</v>
      </c>
      <c r="C23" s="36">
        <v>-0.5</v>
      </c>
      <c r="D23" s="37">
        <v>0</v>
      </c>
      <c r="E23" s="37">
        <v>17</v>
      </c>
      <c r="F23" s="38">
        <v>1500</v>
      </c>
      <c r="G23" s="37" t="s">
        <v>25</v>
      </c>
      <c r="H23" s="39">
        <v>4.9699999999999998</v>
      </c>
      <c r="I23" s="39">
        <v>4.9699999999999998</v>
      </c>
      <c r="J23" s="39">
        <v>12.800000000000001</v>
      </c>
      <c r="K23" s="39">
        <v>-0.90000000000000002</v>
      </c>
      <c r="L23" s="40" t="s">
        <v>26</v>
      </c>
      <c r="M23" s="2">
        <f t="shared" si="1"/>
        <v>-2.3233999999999999</v>
      </c>
      <c r="N23" s="41">
        <v>1</v>
      </c>
      <c r="O23" s="47">
        <v>43.312867003679301</v>
      </c>
      <c r="P23" s="42">
        <v>53.875415306532801</v>
      </c>
      <c r="Q23" s="43">
        <v>8</v>
      </c>
      <c r="R23" s="44">
        <v>16</v>
      </c>
      <c r="S23" s="41" t="s">
        <v>25</v>
      </c>
      <c r="T23" s="39" t="s">
        <v>25</v>
      </c>
      <c r="U23" s="39" t="s">
        <v>25</v>
      </c>
      <c r="V23" s="39" t="s">
        <v>25</v>
      </c>
      <c r="W23" s="40" t="s">
        <v>25</v>
      </c>
      <c r="Y23" s="46">
        <v>129641.40624999999</v>
      </c>
      <c r="Z23" s="46">
        <v>0</v>
      </c>
    </row>
    <row r="24" ht="15">
      <c r="A24" s="34">
        <v>45770</v>
      </c>
      <c r="B24" s="35">
        <v>-14.1</v>
      </c>
      <c r="C24" s="36">
        <v>-1.3</v>
      </c>
      <c r="D24" s="37">
        <v>0</v>
      </c>
      <c r="E24" s="37">
        <v>16</v>
      </c>
      <c r="F24" s="38">
        <v>1500</v>
      </c>
      <c r="G24" s="37" t="s">
        <v>25</v>
      </c>
      <c r="H24" s="39">
        <v>5.1100000000000003</v>
      </c>
      <c r="I24" s="39">
        <v>5.1100000000000003</v>
      </c>
      <c r="J24" s="39">
        <v>10.800000000000001</v>
      </c>
      <c r="K24" s="39">
        <v>-1.7</v>
      </c>
      <c r="L24" s="40" t="s">
        <v>26</v>
      </c>
      <c r="M24" s="2">
        <f t="shared" si="1"/>
        <v>-2.3108</v>
      </c>
      <c r="N24" s="41">
        <v>1</v>
      </c>
      <c r="O24" s="42">
        <v>42.782377545925897</v>
      </c>
      <c r="P24" s="42">
        <v>55.457350421054898</v>
      </c>
      <c r="Q24" s="43">
        <v>8</v>
      </c>
      <c r="R24" s="44">
        <v>16</v>
      </c>
      <c r="S24" s="41" t="s">
        <v>25</v>
      </c>
      <c r="T24" s="39" t="s">
        <v>25</v>
      </c>
      <c r="U24" s="39" t="s">
        <v>25</v>
      </c>
      <c r="V24" s="39" t="s">
        <v>25</v>
      </c>
      <c r="W24" s="40" t="s">
        <v>25</v>
      </c>
      <c r="Y24" s="46">
        <v>142240.609375</v>
      </c>
      <c r="Z24" s="46">
        <v>0</v>
      </c>
    </row>
    <row r="25" ht="15">
      <c r="A25" s="34">
        <v>45771</v>
      </c>
      <c r="B25" s="35">
        <v>-9</v>
      </c>
      <c r="C25" s="36">
        <v>-0.5</v>
      </c>
      <c r="D25" s="37">
        <v>0</v>
      </c>
      <c r="E25" s="37">
        <v>50</v>
      </c>
      <c r="F25" s="38">
        <v>1750</v>
      </c>
      <c r="G25" s="37" t="s">
        <v>25</v>
      </c>
      <c r="H25" s="39">
        <v>5.2999999999999998</v>
      </c>
      <c r="I25" s="39">
        <v>5.2999999999999998</v>
      </c>
      <c r="J25" s="39">
        <v>10.300000000000001</v>
      </c>
      <c r="K25" s="39">
        <v>-0.5</v>
      </c>
      <c r="L25" s="40" t="s">
        <v>26</v>
      </c>
      <c r="M25" s="2">
        <f t="shared" si="1"/>
        <v>-2.5449999999999995</v>
      </c>
      <c r="N25" s="41">
        <v>1.2</v>
      </c>
      <c r="O25" s="42">
        <v>41.416502919643897</v>
      </c>
      <c r="P25" s="47">
        <v>54.305859096708403</v>
      </c>
      <c r="Q25" s="43">
        <v>9</v>
      </c>
      <c r="R25" s="44">
        <v>16</v>
      </c>
      <c r="S25" s="41" t="s">
        <v>25</v>
      </c>
      <c r="T25" s="39" t="s">
        <v>25</v>
      </c>
      <c r="U25" s="39" t="s">
        <v>25</v>
      </c>
      <c r="V25" s="39" t="s">
        <v>25</v>
      </c>
      <c r="W25" s="40" t="s">
        <v>25</v>
      </c>
      <c r="Y25" s="46">
        <v>207658.484375</v>
      </c>
      <c r="Z25" s="46">
        <v>0</v>
      </c>
    </row>
    <row r="26" ht="15">
      <c r="A26" s="34">
        <v>45772</v>
      </c>
      <c r="B26" s="35">
        <v>-12.4</v>
      </c>
      <c r="C26" s="36">
        <v>-0.69999999999999996</v>
      </c>
      <c r="D26" s="37">
        <v>0</v>
      </c>
      <c r="E26" s="37">
        <v>27</v>
      </c>
      <c r="F26" s="38">
        <v>1750</v>
      </c>
      <c r="G26" s="37" t="s">
        <v>25</v>
      </c>
      <c r="H26" s="39">
        <v>5.4500000000000002</v>
      </c>
      <c r="I26" s="39">
        <v>5.4400000000000004</v>
      </c>
      <c r="J26" s="39">
        <v>12.5</v>
      </c>
      <c r="K26" s="39">
        <v>-0.80000000000000004</v>
      </c>
      <c r="L26" s="40" t="s">
        <v>26</v>
      </c>
      <c r="M26" s="2">
        <f t="shared" si="1"/>
        <v>-2.6350000000000002</v>
      </c>
      <c r="N26" s="41">
        <v>1.2</v>
      </c>
      <c r="O26" s="42">
        <v>41.471443059930102</v>
      </c>
      <c r="P26" s="42">
        <v>57.334124618724502</v>
      </c>
      <c r="Q26" s="43">
        <v>9</v>
      </c>
      <c r="R26" s="44">
        <v>17</v>
      </c>
      <c r="S26" s="41" t="s">
        <v>25</v>
      </c>
      <c r="T26" s="39" t="s">
        <v>25</v>
      </c>
      <c r="U26" s="39" t="s">
        <v>25</v>
      </c>
      <c r="V26" s="39" t="s">
        <v>25</v>
      </c>
      <c r="W26" s="40" t="s">
        <v>25</v>
      </c>
      <c r="Y26" s="46">
        <v>220688.00000000003</v>
      </c>
      <c r="Z26" s="46">
        <v>73915.267944335938</v>
      </c>
    </row>
    <row r="27" ht="15">
      <c r="A27" s="34">
        <v>45773</v>
      </c>
      <c r="B27" s="35">
        <v>-7.5999999999999996</v>
      </c>
      <c r="C27" s="36">
        <v>-1.5</v>
      </c>
      <c r="D27" s="37">
        <v>0</v>
      </c>
      <c r="E27" s="37">
        <v>44</v>
      </c>
      <c r="F27" s="38">
        <v>1750</v>
      </c>
      <c r="G27" s="37" t="s">
        <v>25</v>
      </c>
      <c r="H27" s="39">
        <v>5.4500000000000002</v>
      </c>
      <c r="I27" s="39">
        <v>5.3399999999999999</v>
      </c>
      <c r="J27" s="39">
        <v>12.6</v>
      </c>
      <c r="K27" s="39">
        <v>-1.5</v>
      </c>
      <c r="L27" s="40" t="s">
        <v>26</v>
      </c>
      <c r="M27" s="2">
        <f t="shared" si="1"/>
        <v>-2.5148999999999995</v>
      </c>
      <c r="N27" s="41">
        <v>1.2</v>
      </c>
      <c r="O27" s="42">
        <v>41.394310863591997</v>
      </c>
      <c r="P27" s="42">
        <v>57.137879920447297</v>
      </c>
      <c r="Q27" s="43">
        <v>9</v>
      </c>
      <c r="R27" s="44">
        <v>15</v>
      </c>
      <c r="S27" s="41" t="s">
        <v>25</v>
      </c>
      <c r="T27" s="39" t="s">
        <v>25</v>
      </c>
      <c r="U27" s="39" t="s">
        <v>25</v>
      </c>
      <c r="V27" s="39" t="s">
        <v>25</v>
      </c>
      <c r="W27" s="40" t="s">
        <v>25</v>
      </c>
      <c r="Y27" s="46">
        <v>229685.62500000003</v>
      </c>
      <c r="Z27" s="46">
        <v>0</v>
      </c>
    </row>
    <row r="28" ht="15">
      <c r="A28" s="34">
        <v>45774</v>
      </c>
      <c r="B28" s="35">
        <v>-14.9</v>
      </c>
      <c r="C28" s="36">
        <v>-0.69999999999999996</v>
      </c>
      <c r="D28" s="37">
        <v>0</v>
      </c>
      <c r="E28" s="37">
        <v>21</v>
      </c>
      <c r="F28" s="38">
        <v>1750</v>
      </c>
      <c r="G28" s="37" t="s">
        <v>25</v>
      </c>
      <c r="H28" s="39">
        <v>5.4000000000000004</v>
      </c>
      <c r="I28" s="39">
        <v>5.4000000000000004</v>
      </c>
      <c r="J28" s="39">
        <v>14</v>
      </c>
      <c r="K28" s="39">
        <v>-0.69999999999999996</v>
      </c>
      <c r="L28" s="40" t="s">
        <v>26</v>
      </c>
      <c r="M28" s="2">
        <f t="shared" si="1"/>
        <v>-2.6896</v>
      </c>
      <c r="N28" s="41">
        <v>1.2</v>
      </c>
      <c r="O28" s="47">
        <v>41.405361399297398</v>
      </c>
      <c r="P28" s="47">
        <v>56.636818400224101</v>
      </c>
      <c r="Q28" s="43">
        <v>9</v>
      </c>
      <c r="R28" s="44">
        <v>16</v>
      </c>
      <c r="S28" s="41" t="s">
        <v>25</v>
      </c>
      <c r="T28" s="39" t="s">
        <v>25</v>
      </c>
      <c r="U28" s="39" t="s">
        <v>25</v>
      </c>
      <c r="V28" s="39" t="s">
        <v>25</v>
      </c>
      <c r="W28" s="40" t="s">
        <v>25</v>
      </c>
      <c r="Y28" s="46">
        <v>224539.21875</v>
      </c>
      <c r="Z28" s="46">
        <v>4896.8572616577148</v>
      </c>
    </row>
    <row r="29" ht="15">
      <c r="A29" s="34">
        <v>45775</v>
      </c>
      <c r="B29" s="48">
        <v>-3</v>
      </c>
      <c r="C29" s="49">
        <v>-0.69999999999999996</v>
      </c>
      <c r="D29" s="37">
        <v>0</v>
      </c>
      <c r="E29" s="38">
        <v>34</v>
      </c>
      <c r="F29" s="38">
        <v>1750</v>
      </c>
      <c r="G29" s="37" t="s">
        <v>25</v>
      </c>
      <c r="H29" s="39">
        <v>5.3200000000000003</v>
      </c>
      <c r="I29" s="39">
        <v>5.3799999999999999</v>
      </c>
      <c r="J29" s="39">
        <v>14.300000000000001</v>
      </c>
      <c r="K29" s="39">
        <v>1.6000000000000001</v>
      </c>
      <c r="L29" s="40" t="s">
        <v>26</v>
      </c>
      <c r="M29" s="2">
        <f t="shared" si="1"/>
        <v>-2.1128000000000005</v>
      </c>
      <c r="N29" s="41">
        <v>1.2</v>
      </c>
      <c r="O29" s="42">
        <v>41.397071189215403</v>
      </c>
      <c r="P29" s="42">
        <v>56.067143828598098</v>
      </c>
      <c r="Q29" s="43">
        <v>9</v>
      </c>
      <c r="R29" s="44">
        <v>16</v>
      </c>
      <c r="S29" s="41" t="s">
        <v>25</v>
      </c>
      <c r="T29" s="39" t="s">
        <v>25</v>
      </c>
      <c r="U29" s="39" t="s">
        <v>25</v>
      </c>
      <c r="V29" s="39" t="s">
        <v>25</v>
      </c>
      <c r="W29" s="40" t="s">
        <v>25</v>
      </c>
      <c r="Y29" s="46">
        <v>222019.015625</v>
      </c>
      <c r="Z29" s="46">
        <v>0</v>
      </c>
    </row>
    <row r="30" ht="15">
      <c r="A30" s="34">
        <v>45776</v>
      </c>
      <c r="B30" s="48">
        <v>-6.5</v>
      </c>
      <c r="C30" s="49">
        <v>-1.5</v>
      </c>
      <c r="D30" s="37">
        <v>0</v>
      </c>
      <c r="E30" s="38">
        <v>29</v>
      </c>
      <c r="F30" s="38">
        <v>1750</v>
      </c>
      <c r="G30" s="37" t="s">
        <v>25</v>
      </c>
      <c r="H30" s="39">
        <v>5.3200000000000003</v>
      </c>
      <c r="I30" s="39">
        <v>5.3700000000000001</v>
      </c>
      <c r="J30" s="39">
        <v>12</v>
      </c>
      <c r="K30" s="39">
        <v>-1.3999999999999999</v>
      </c>
      <c r="L30" s="40" t="s">
        <v>26</v>
      </c>
      <c r="M30" s="2">
        <f t="shared" si="1"/>
        <v>-2.2588000000000004</v>
      </c>
      <c r="N30" s="41">
        <v>1.2</v>
      </c>
      <c r="O30" s="47">
        <v>41.536298200024497</v>
      </c>
      <c r="P30" s="42">
        <v>56.143951462198203</v>
      </c>
      <c r="Q30" s="43">
        <v>9</v>
      </c>
      <c r="R30" s="44">
        <v>16</v>
      </c>
      <c r="S30" s="41" t="s">
        <v>25</v>
      </c>
      <c r="T30" s="39" t="s">
        <v>25</v>
      </c>
      <c r="U30" s="39" t="s">
        <v>25</v>
      </c>
      <c r="V30" s="39" t="s">
        <v>25</v>
      </c>
      <c r="W30" s="40" t="s">
        <v>25</v>
      </c>
      <c r="Y30" s="46">
        <v>217727.1875</v>
      </c>
      <c r="Z30" s="46">
        <v>0</v>
      </c>
    </row>
    <row r="31" ht="15.75">
      <c r="A31" s="50">
        <v>45777</v>
      </c>
      <c r="B31" s="51">
        <v>-8.5999999999999996</v>
      </c>
      <c r="C31" s="52">
        <v>-0.69999999999999996</v>
      </c>
      <c r="D31" s="53">
        <v>0</v>
      </c>
      <c r="E31" s="54">
        <v>26</v>
      </c>
      <c r="F31" s="54">
        <v>1750</v>
      </c>
      <c r="G31" s="53" t="s">
        <v>25</v>
      </c>
      <c r="H31" s="55">
        <v>5.29</v>
      </c>
      <c r="I31" s="55">
        <v>5.3499999999999996</v>
      </c>
      <c r="J31" s="55">
        <v>13.199999999999999</v>
      </c>
      <c r="K31" s="55">
        <v>-0.69999999999999996</v>
      </c>
      <c r="L31" s="56" t="s">
        <v>26</v>
      </c>
      <c r="M31" s="2">
        <f t="shared" si="1"/>
        <v>-2.3280999999999996</v>
      </c>
      <c r="N31" s="57">
        <v>1.2</v>
      </c>
      <c r="O31" s="58">
        <v>41.476943160251302</v>
      </c>
      <c r="P31" s="58">
        <v>55.610110821414899</v>
      </c>
      <c r="Q31" s="59">
        <v>9</v>
      </c>
      <c r="R31" s="60">
        <v>16</v>
      </c>
      <c r="S31" s="57" t="s">
        <v>25</v>
      </c>
      <c r="T31" s="61" t="s">
        <v>25</v>
      </c>
      <c r="U31" s="61" t="s">
        <v>25</v>
      </c>
      <c r="V31" s="61" t="s">
        <v>25</v>
      </c>
      <c r="W31" s="62" t="s">
        <v>25</v>
      </c>
      <c r="Y31" s="63">
        <v>214631.828125</v>
      </c>
      <c r="Z31" s="64">
        <v>0</v>
      </c>
    </row>
    <row r="32" ht="28.5">
      <c r="A32" s="20">
        <v>45778</v>
      </c>
      <c r="B32" s="65">
        <v>-9.1999999999999993</v>
      </c>
      <c r="C32" s="66" t="s">
        <v>27</v>
      </c>
      <c r="D32" s="24">
        <v>4</v>
      </c>
      <c r="E32" s="24">
        <v>40</v>
      </c>
      <c r="F32" s="24">
        <v>1830</v>
      </c>
      <c r="G32" s="23" t="s">
        <v>28</v>
      </c>
      <c r="H32" s="25">
        <v>5.8600000000000003</v>
      </c>
      <c r="I32" s="25">
        <v>5.2699999999999996</v>
      </c>
      <c r="J32" s="25">
        <v>14</v>
      </c>
      <c r="K32" s="25">
        <v>-1.2</v>
      </c>
      <c r="L32" s="26" t="s">
        <v>29</v>
      </c>
      <c r="M32" s="2">
        <f t="shared" si="1"/>
        <v>-2.8566000000000007</v>
      </c>
      <c r="N32" s="67">
        <v>1.2</v>
      </c>
      <c r="O32" s="68">
        <v>41.199348890957999</v>
      </c>
      <c r="P32" s="68">
        <v>50.950639048947203</v>
      </c>
      <c r="Q32" s="69">
        <v>10</v>
      </c>
      <c r="R32" s="70">
        <v>16</v>
      </c>
      <c r="S32" s="67">
        <v>11.130000000000001</v>
      </c>
      <c r="T32" s="71">
        <v>49.2325764405727</v>
      </c>
      <c r="U32" s="71">
        <v>56.1380524366432</v>
      </c>
      <c r="V32" s="72">
        <v>5.1364047799728496</v>
      </c>
      <c r="W32" s="73">
        <v>18.650150741162101</v>
      </c>
      <c r="Y32" s="33">
        <v>208975.21875</v>
      </c>
      <c r="Z32" s="33">
        <v>0</v>
      </c>
    </row>
    <row r="33" ht="28.5">
      <c r="A33" s="34">
        <v>45779</v>
      </c>
      <c r="B33" s="48">
        <v>-11.4</v>
      </c>
      <c r="C33" s="49">
        <v>-1.3999999999999999</v>
      </c>
      <c r="D33" s="38">
        <v>4</v>
      </c>
      <c r="E33" s="38">
        <v>21</v>
      </c>
      <c r="F33" s="38">
        <v>1830</v>
      </c>
      <c r="G33" s="37" t="s">
        <v>30</v>
      </c>
      <c r="H33" s="39">
        <v>5.8499999999999996</v>
      </c>
      <c r="I33" s="39">
        <v>5.2999999999999998</v>
      </c>
      <c r="J33" s="39">
        <v>14</v>
      </c>
      <c r="K33" s="39">
        <v>-11.699999999999999</v>
      </c>
      <c r="L33" s="40" t="s">
        <v>29</v>
      </c>
      <c r="N33" s="41">
        <v>1.2</v>
      </c>
      <c r="O33" s="42">
        <v>40.709355813485601</v>
      </c>
      <c r="P33" s="42">
        <v>48.703197542252397</v>
      </c>
      <c r="Q33" s="43">
        <v>11</v>
      </c>
      <c r="R33" s="44">
        <v>16</v>
      </c>
      <c r="S33" s="41">
        <v>11.130000000000001</v>
      </c>
      <c r="T33" s="74">
        <v>46.783840857126101</v>
      </c>
      <c r="U33" s="74">
        <v>60.315107689875099</v>
      </c>
      <c r="V33" s="74">
        <v>14.718367947340001</v>
      </c>
      <c r="W33" s="75">
        <v>36.879231607560797</v>
      </c>
      <c r="Y33" s="46">
        <v>197286.703125</v>
      </c>
      <c r="Z33" s="46">
        <v>93211.875915527344</v>
      </c>
    </row>
    <row r="34" ht="28.5">
      <c r="A34" s="34">
        <v>45780</v>
      </c>
      <c r="B34" s="48">
        <v>-3.7999999999999998</v>
      </c>
      <c r="C34" s="49">
        <v>-0.69999999999999996</v>
      </c>
      <c r="D34" s="38">
        <v>4</v>
      </c>
      <c r="E34" s="38">
        <v>47</v>
      </c>
      <c r="F34" s="38">
        <v>1830</v>
      </c>
      <c r="G34" s="37" t="s">
        <v>30</v>
      </c>
      <c r="H34" s="39">
        <v>5.9400000000000004</v>
      </c>
      <c r="I34" s="39">
        <v>5.3300000000000001</v>
      </c>
      <c r="J34" s="39">
        <v>13.699999999999999</v>
      </c>
      <c r="K34" s="39">
        <v>-9.1999999999999993</v>
      </c>
      <c r="L34" s="40" t="s">
        <v>29</v>
      </c>
      <c r="N34" s="41">
        <v>1.2</v>
      </c>
      <c r="O34" s="42">
        <v>40.743008067342998</v>
      </c>
      <c r="P34" s="42">
        <v>48.9611046742951</v>
      </c>
      <c r="Q34" s="43">
        <v>10</v>
      </c>
      <c r="R34" s="44">
        <v>16</v>
      </c>
      <c r="S34" s="41">
        <v>11.130000000000001</v>
      </c>
      <c r="T34" s="74">
        <v>47.040838746362297</v>
      </c>
      <c r="U34" s="74">
        <v>60.557309367171001</v>
      </c>
      <c r="V34" s="74">
        <v>14.682889285793999</v>
      </c>
      <c r="W34" s="75">
        <v>36.704899202894303</v>
      </c>
      <c r="Y34" s="46">
        <v>202406.359375</v>
      </c>
      <c r="Z34" s="46">
        <v>176842.45300292969</v>
      </c>
    </row>
    <row r="35" ht="28.5">
      <c r="A35" s="34">
        <v>45781</v>
      </c>
      <c r="B35" s="48">
        <v>-5.2000000000000002</v>
      </c>
      <c r="C35" s="49">
        <v>-1.2</v>
      </c>
      <c r="D35" s="38">
        <v>4</v>
      </c>
      <c r="E35" s="38">
        <v>22</v>
      </c>
      <c r="F35" s="38">
        <v>1830</v>
      </c>
      <c r="G35" s="37" t="s">
        <v>31</v>
      </c>
      <c r="H35" s="39">
        <v>6.1399999999999997</v>
      </c>
      <c r="I35" s="39">
        <v>5.3399999999999999</v>
      </c>
      <c r="J35" s="39">
        <v>18.600000000000001</v>
      </c>
      <c r="K35" s="39">
        <v>-9.3000000000000007</v>
      </c>
      <c r="L35" s="40" t="s">
        <v>32</v>
      </c>
      <c r="N35" s="41">
        <v>1.3</v>
      </c>
      <c r="O35" s="42">
        <v>40.836163638035501</v>
      </c>
      <c r="P35" s="42">
        <v>49.9658386247688</v>
      </c>
      <c r="Q35" s="43">
        <v>10</v>
      </c>
      <c r="R35" s="44">
        <v>16</v>
      </c>
      <c r="S35" s="41">
        <v>11.130000000000001</v>
      </c>
      <c r="T35" s="76">
        <v>48.094995702814202</v>
      </c>
      <c r="U35" s="74">
        <v>62.503801016895899</v>
      </c>
      <c r="V35" s="74">
        <v>14.4290575608059</v>
      </c>
      <c r="W35" s="75">
        <v>37.205533354194102</v>
      </c>
      <c r="Y35" s="46">
        <v>206204.421875</v>
      </c>
      <c r="Z35" s="46">
        <v>210257.11059570312</v>
      </c>
    </row>
    <row r="36" ht="28.5">
      <c r="A36" s="34">
        <v>45782</v>
      </c>
      <c r="B36" s="48">
        <v>-7.4000000000000004</v>
      </c>
      <c r="C36" s="49">
        <v>-1.2</v>
      </c>
      <c r="D36" s="38">
        <v>4</v>
      </c>
      <c r="E36" s="38">
        <v>28</v>
      </c>
      <c r="F36" s="38">
        <v>1830</v>
      </c>
      <c r="G36" s="37" t="s">
        <v>31</v>
      </c>
      <c r="H36" s="39">
        <v>6.1500000000000004</v>
      </c>
      <c r="I36" s="39">
        <v>5.3499999999999996</v>
      </c>
      <c r="J36" s="39">
        <v>20.699999999999999</v>
      </c>
      <c r="K36" s="39">
        <v>-10</v>
      </c>
      <c r="L36" s="40" t="s">
        <v>32</v>
      </c>
      <c r="N36" s="41">
        <v>1.3</v>
      </c>
      <c r="O36" s="42">
        <v>40.912476834985902</v>
      </c>
      <c r="P36" s="42">
        <v>50.296783726480299</v>
      </c>
      <c r="Q36" s="43">
        <v>10</v>
      </c>
      <c r="R36" s="44">
        <v>16</v>
      </c>
      <c r="S36" s="41">
        <v>11.130000000000001</v>
      </c>
      <c r="T36" s="74">
        <v>48.4423507859089</v>
      </c>
      <c r="U36" s="74">
        <v>63.706974959196899</v>
      </c>
      <c r="V36" s="74">
        <v>14.546165230892299</v>
      </c>
      <c r="W36" s="75">
        <v>38.433331213703902</v>
      </c>
      <c r="Y36" s="46">
        <v>211160.96875</v>
      </c>
      <c r="Z36" s="46">
        <v>210048.30932617188</v>
      </c>
    </row>
    <row r="37" ht="28.5">
      <c r="A37" s="34">
        <v>45783</v>
      </c>
      <c r="B37" s="77">
        <v>1.8</v>
      </c>
      <c r="C37" s="78">
        <v>-1.3999999999999999</v>
      </c>
      <c r="D37" s="39">
        <v>4</v>
      </c>
      <c r="E37" s="39">
        <v>35</v>
      </c>
      <c r="F37" s="39">
        <v>1830</v>
      </c>
      <c r="G37" s="79" t="s">
        <v>33</v>
      </c>
      <c r="H37" s="39">
        <v>6.2800000000000002</v>
      </c>
      <c r="I37" s="39">
        <v>5.4100000000000001</v>
      </c>
      <c r="J37" s="39">
        <v>19.199999999999999</v>
      </c>
      <c r="K37" s="39">
        <v>-8.3000000000000007</v>
      </c>
      <c r="L37" s="40" t="s">
        <v>32</v>
      </c>
      <c r="N37" s="41">
        <v>1.3</v>
      </c>
      <c r="O37" s="47">
        <v>40.860681296896097</v>
      </c>
      <c r="P37" s="42">
        <v>50.510740307525403</v>
      </c>
      <c r="Q37" s="43">
        <v>10</v>
      </c>
      <c r="R37" s="44">
        <v>16</v>
      </c>
      <c r="S37" s="41">
        <v>11.130000000000001</v>
      </c>
      <c r="T37" s="74">
        <v>48.643873084430297</v>
      </c>
      <c r="U37" s="74">
        <v>64.560250028680898</v>
      </c>
      <c r="V37" s="74">
        <v>15.143185165590699</v>
      </c>
      <c r="W37" s="75">
        <v>39.935357572767501</v>
      </c>
      <c r="Y37" s="46">
        <v>211303.984375</v>
      </c>
      <c r="Z37" s="46">
        <v>214930.37414550781</v>
      </c>
    </row>
    <row r="38" ht="28.5">
      <c r="A38" s="34">
        <v>45784</v>
      </c>
      <c r="B38" s="77">
        <v>1.3999999999999999</v>
      </c>
      <c r="C38" s="78">
        <v>-0.69999999999999996</v>
      </c>
      <c r="D38" s="39">
        <v>4</v>
      </c>
      <c r="E38" s="39">
        <v>29</v>
      </c>
      <c r="F38" s="39">
        <v>1830</v>
      </c>
      <c r="G38" s="79" t="s">
        <v>34</v>
      </c>
      <c r="H38" s="39">
        <v>6.2400000000000002</v>
      </c>
      <c r="I38" s="39">
        <v>5.4100000000000001</v>
      </c>
      <c r="J38" s="39">
        <v>16.600000000000001</v>
      </c>
      <c r="K38" s="39">
        <v>-6.7999999999999998</v>
      </c>
      <c r="L38" s="40" t="s">
        <v>32</v>
      </c>
      <c r="N38" s="41">
        <v>1.3</v>
      </c>
      <c r="O38" s="42">
        <v>40.8644120311737</v>
      </c>
      <c r="P38" s="42">
        <v>50.702005458628697</v>
      </c>
      <c r="Q38" s="43">
        <v>10</v>
      </c>
      <c r="R38" s="44">
        <v>15</v>
      </c>
      <c r="S38" s="41">
        <v>11.130000000000001</v>
      </c>
      <c r="T38" s="74">
        <v>48.841857166510998</v>
      </c>
      <c r="U38" s="74">
        <v>64.377504278907097</v>
      </c>
      <c r="V38" s="76">
        <v>14.4349250002702</v>
      </c>
      <c r="W38" s="75">
        <v>38.492681204301299</v>
      </c>
      <c r="Y38" s="46">
        <v>210701.296875</v>
      </c>
      <c r="Z38" s="46">
        <v>214172.16491699219</v>
      </c>
    </row>
    <row r="39" ht="28.5">
      <c r="A39" s="34">
        <v>45785</v>
      </c>
      <c r="B39" s="77">
        <v>2.3999999999999999</v>
      </c>
      <c r="C39" s="78">
        <v>-0.90000000000000002</v>
      </c>
      <c r="D39" s="39">
        <v>4</v>
      </c>
      <c r="E39" s="39">
        <v>37</v>
      </c>
      <c r="F39" s="39">
        <v>1830</v>
      </c>
      <c r="G39" s="79" t="s">
        <v>34</v>
      </c>
      <c r="H39" s="39">
        <v>6.25</v>
      </c>
      <c r="I39" s="39">
        <v>5.4199999999999999</v>
      </c>
      <c r="J39" s="39">
        <v>18.199999999999999</v>
      </c>
      <c r="K39" s="39">
        <v>-7.7000000000000002</v>
      </c>
      <c r="L39" s="40" t="s">
        <v>32</v>
      </c>
      <c r="N39" s="41">
        <v>1.3</v>
      </c>
      <c r="O39" s="42">
        <v>40.767616641742201</v>
      </c>
      <c r="P39" s="42">
        <v>50.908623737626598</v>
      </c>
      <c r="Q39" s="43">
        <v>10</v>
      </c>
      <c r="R39" s="44">
        <v>16</v>
      </c>
      <c r="S39" s="41">
        <v>11.130000000000001</v>
      </c>
      <c r="T39" s="74">
        <v>49.058962360002397</v>
      </c>
      <c r="U39" s="74">
        <v>64.723952159881605</v>
      </c>
      <c r="V39" s="76">
        <v>14.8334069653794</v>
      </c>
      <c r="W39" s="75">
        <v>39.057854197378497</v>
      </c>
      <c r="Y39" s="46">
        <v>210730.875</v>
      </c>
      <c r="Z39" s="46">
        <v>213585.72387695312</v>
      </c>
    </row>
    <row r="40" ht="28.5">
      <c r="A40" s="34">
        <v>45786</v>
      </c>
      <c r="B40" s="77">
        <v>-3.8999999999999999</v>
      </c>
      <c r="C40" s="78">
        <v>-0.90000000000000002</v>
      </c>
      <c r="D40" s="39">
        <v>4</v>
      </c>
      <c r="E40" s="39">
        <v>20</v>
      </c>
      <c r="F40" s="39">
        <v>1830</v>
      </c>
      <c r="G40" s="79" t="s">
        <v>34</v>
      </c>
      <c r="H40" s="39">
        <v>6.2400000000000002</v>
      </c>
      <c r="I40" s="39">
        <v>5.3799999999999999</v>
      </c>
      <c r="J40" s="39">
        <v>18.100000000000001</v>
      </c>
      <c r="K40" s="39">
        <v>-7.2000000000000002</v>
      </c>
      <c r="L40" s="40" t="s">
        <v>32</v>
      </c>
      <c r="N40" s="41">
        <v>1.3</v>
      </c>
      <c r="O40" s="42">
        <v>40.820003628333403</v>
      </c>
      <c r="P40" s="42">
        <v>51.167897575166499</v>
      </c>
      <c r="Q40" s="43">
        <v>10</v>
      </c>
      <c r="R40" s="44">
        <v>16</v>
      </c>
      <c r="S40" s="41">
        <v>11.130000000000001</v>
      </c>
      <c r="T40" s="74">
        <v>49.282438456614798</v>
      </c>
      <c r="U40" s="74">
        <v>64.474946811640706</v>
      </c>
      <c r="V40" s="74">
        <v>13.8910415142995</v>
      </c>
      <c r="W40" s="75">
        <v>37.237403731434398</v>
      </c>
      <c r="Y40" s="46">
        <v>210837.734375</v>
      </c>
      <c r="Z40" s="46">
        <v>209387.43591308594</v>
      </c>
    </row>
    <row r="41" ht="28.5">
      <c r="A41" s="34">
        <v>45787</v>
      </c>
      <c r="B41" s="77">
        <v>-6.4000000000000004</v>
      </c>
      <c r="C41" s="78">
        <v>-0.69999999999999996</v>
      </c>
      <c r="D41" s="39">
        <v>4</v>
      </c>
      <c r="E41" s="39">
        <v>14</v>
      </c>
      <c r="F41" s="39">
        <v>1830</v>
      </c>
      <c r="G41" s="79" t="s">
        <v>35</v>
      </c>
      <c r="H41" s="39">
        <v>6.1600000000000001</v>
      </c>
      <c r="I41" s="39">
        <v>5.29</v>
      </c>
      <c r="J41" s="39">
        <v>16.899999999999999</v>
      </c>
      <c r="K41" s="39">
        <v>-6.4000000000000004</v>
      </c>
      <c r="L41" s="40" t="s">
        <v>32</v>
      </c>
      <c r="N41" s="41">
        <v>1.3</v>
      </c>
      <c r="O41" s="42">
        <v>40.996971682045199</v>
      </c>
      <c r="P41" s="42">
        <v>51.226445764391499</v>
      </c>
      <c r="Q41" s="43">
        <v>10</v>
      </c>
      <c r="R41" s="44">
        <v>16</v>
      </c>
      <c r="S41" s="41">
        <v>11.130000000000001</v>
      </c>
      <c r="T41" s="74">
        <v>49.349938320627899</v>
      </c>
      <c r="U41" s="74">
        <v>63.736619134037603</v>
      </c>
      <c r="V41" s="74">
        <v>13.9821625937797</v>
      </c>
      <c r="W41" s="75">
        <v>36.238081148642102</v>
      </c>
      <c r="Y41" s="46">
        <v>211767.625</v>
      </c>
      <c r="Z41" s="46">
        <v>207927.18505859375</v>
      </c>
    </row>
    <row r="42" ht="28.5">
      <c r="A42" s="34">
        <v>45788</v>
      </c>
      <c r="B42" s="77">
        <v>-5.4000000000000004</v>
      </c>
      <c r="C42" s="78">
        <v>-0.5</v>
      </c>
      <c r="D42" s="39">
        <v>4</v>
      </c>
      <c r="E42" s="39">
        <v>16</v>
      </c>
      <c r="F42" s="39">
        <v>1830</v>
      </c>
      <c r="G42" s="79" t="s">
        <v>35</v>
      </c>
      <c r="H42" s="39">
        <v>6.1399999999999997</v>
      </c>
      <c r="I42" s="39">
        <v>5.2400000000000002</v>
      </c>
      <c r="J42" s="39">
        <v>18.399999999999999</v>
      </c>
      <c r="K42" s="39">
        <v>-6.5999999999999996</v>
      </c>
      <c r="L42" s="40" t="s">
        <v>32</v>
      </c>
      <c r="N42" s="41">
        <v>1.3</v>
      </c>
      <c r="O42" s="42">
        <v>41.0096507596528</v>
      </c>
      <c r="P42" s="42">
        <v>50.922053476086397</v>
      </c>
      <c r="Q42" s="43">
        <v>10</v>
      </c>
      <c r="R42" s="44">
        <v>16</v>
      </c>
      <c r="S42" s="41">
        <v>12.130000000000001</v>
      </c>
      <c r="T42" s="74">
        <v>49.027373727118501</v>
      </c>
      <c r="U42" s="74">
        <v>63.547375529298101</v>
      </c>
      <c r="V42" s="74">
        <v>14.049066902664</v>
      </c>
      <c r="W42" s="75">
        <v>36.5715567015719</v>
      </c>
      <c r="Y42" s="46">
        <v>211106.984375</v>
      </c>
      <c r="Z42" s="46">
        <v>206774.73449707031</v>
      </c>
    </row>
    <row r="43" ht="28.5">
      <c r="A43" s="34">
        <v>45789</v>
      </c>
      <c r="B43" s="77">
        <v>-4</v>
      </c>
      <c r="C43" s="78">
        <v>-0.40000000000000002</v>
      </c>
      <c r="D43" s="39">
        <v>4</v>
      </c>
      <c r="E43" s="39">
        <v>18</v>
      </c>
      <c r="F43" s="39">
        <v>1830</v>
      </c>
      <c r="G43" s="79" t="s">
        <v>35</v>
      </c>
      <c r="H43" s="39">
        <v>6.1200000000000001</v>
      </c>
      <c r="I43" s="39">
        <v>5.2300000000000004</v>
      </c>
      <c r="J43" s="39">
        <v>18.199999999999999</v>
      </c>
      <c r="K43" s="39">
        <v>-5.7999999999999998</v>
      </c>
      <c r="L43" s="40" t="s">
        <v>32</v>
      </c>
      <c r="N43" s="41">
        <v>1.3</v>
      </c>
      <c r="O43" s="42">
        <v>41.016295141997198</v>
      </c>
      <c r="P43" s="42">
        <v>50.568390744880404</v>
      </c>
      <c r="Q43" s="43">
        <v>10</v>
      </c>
      <c r="R43" s="44">
        <v>16</v>
      </c>
      <c r="S43" s="41">
        <v>12.130000000000001</v>
      </c>
      <c r="T43" s="74">
        <v>48.671162082265901</v>
      </c>
      <c r="U43" s="74">
        <v>63.457949352440998</v>
      </c>
      <c r="V43" s="74">
        <v>14.1531792067157</v>
      </c>
      <c r="W43" s="75">
        <v>37.439727910889502</v>
      </c>
      <c r="Y43" s="46">
        <v>210014.5625</v>
      </c>
      <c r="Z43" s="46">
        <v>214186.6455078125</v>
      </c>
    </row>
    <row r="44" ht="28.5">
      <c r="A44" s="34">
        <v>45790</v>
      </c>
      <c r="B44" s="77">
        <v>-5.4000000000000004</v>
      </c>
      <c r="C44" s="78">
        <v>-0.59999999999999998</v>
      </c>
      <c r="D44" s="39">
        <v>4</v>
      </c>
      <c r="E44" s="39">
        <v>18</v>
      </c>
      <c r="F44" s="39">
        <v>1830</v>
      </c>
      <c r="G44" s="79" t="s">
        <v>35</v>
      </c>
      <c r="H44" s="39">
        <v>6.1900000000000004</v>
      </c>
      <c r="I44" s="39">
        <v>5.2999999999999998</v>
      </c>
      <c r="J44" s="39">
        <v>18.699999999999999</v>
      </c>
      <c r="K44" s="39">
        <v>-6.7000000000000002</v>
      </c>
      <c r="L44" s="40" t="s">
        <v>32</v>
      </c>
      <c r="N44" s="41">
        <v>1.3</v>
      </c>
      <c r="O44" s="42">
        <v>39.628863924565103</v>
      </c>
      <c r="P44" s="47">
        <v>50.2182121003557</v>
      </c>
      <c r="Q44" s="43">
        <v>10</v>
      </c>
      <c r="R44" s="44">
        <v>16</v>
      </c>
      <c r="S44" s="41">
        <v>12.130000000000001</v>
      </c>
      <c r="T44" s="74">
        <v>47.968446349876899</v>
      </c>
      <c r="U44" s="74">
        <v>64.976884088118894</v>
      </c>
      <c r="V44" s="74">
        <v>14.4040416915328</v>
      </c>
      <c r="W44" s="75">
        <v>41.008715870380399</v>
      </c>
      <c r="Y44" s="46">
        <v>210449.15625000003</v>
      </c>
      <c r="Z44" s="46">
        <v>209412.91809082031</v>
      </c>
    </row>
    <row r="45" ht="28.5">
      <c r="A45" s="34">
        <v>45791</v>
      </c>
      <c r="B45" s="77">
        <v>-4.0999999999999996</v>
      </c>
      <c r="C45" s="78">
        <v>-0.90000000000000002</v>
      </c>
      <c r="D45" s="39">
        <v>4</v>
      </c>
      <c r="E45" s="39">
        <v>26</v>
      </c>
      <c r="F45" s="39">
        <v>2160</v>
      </c>
      <c r="G45" s="79" t="s">
        <v>36</v>
      </c>
      <c r="H45" s="39">
        <v>6.5300000000000002</v>
      </c>
      <c r="I45" s="39">
        <v>5.5599999999999996</v>
      </c>
      <c r="J45" s="39">
        <v>18.100000000000001</v>
      </c>
      <c r="K45" s="39">
        <v>-8.8000000000000007</v>
      </c>
      <c r="L45" s="40" t="s">
        <v>32</v>
      </c>
      <c r="N45" s="41">
        <v>1.3</v>
      </c>
      <c r="O45" s="42">
        <v>38.048348117669399</v>
      </c>
      <c r="P45" s="42">
        <v>49.680727459854602</v>
      </c>
      <c r="Q45" s="43">
        <v>10</v>
      </c>
      <c r="R45" s="44">
        <v>16</v>
      </c>
      <c r="S45" s="41">
        <v>11.130000000000001</v>
      </c>
      <c r="T45" s="74">
        <v>46.995709016852899</v>
      </c>
      <c r="U45" s="74">
        <v>67.054893131785903</v>
      </c>
      <c r="V45" s="74">
        <v>14.334090266757499</v>
      </c>
      <c r="W45" s="75">
        <v>45.628813103569897</v>
      </c>
      <c r="Y45" s="46">
        <v>242849.734375</v>
      </c>
      <c r="Z45" s="46">
        <v>264886.16943359375</v>
      </c>
    </row>
    <row r="46" ht="28.5">
      <c r="A46" s="34">
        <v>45792</v>
      </c>
      <c r="B46" s="77">
        <v>-3.7999999999999998</v>
      </c>
      <c r="C46" s="78">
        <v>-0.29999999999999999</v>
      </c>
      <c r="D46" s="39">
        <v>4</v>
      </c>
      <c r="E46" s="39">
        <v>21</v>
      </c>
      <c r="F46" s="39">
        <v>2160</v>
      </c>
      <c r="G46" s="79" t="s">
        <v>36</v>
      </c>
      <c r="H46" s="39">
        <v>6.4100000000000001</v>
      </c>
      <c r="I46" s="39">
        <v>5.4199999999999999</v>
      </c>
      <c r="J46" s="39">
        <v>19.300000000000001</v>
      </c>
      <c r="K46" s="39">
        <v>-8.6999999999999993</v>
      </c>
      <c r="L46" s="40" t="s">
        <v>32</v>
      </c>
      <c r="N46" s="41">
        <v>1.3</v>
      </c>
      <c r="O46" s="42">
        <v>38.044873931523298</v>
      </c>
      <c r="P46" s="42">
        <v>49.991232011991499</v>
      </c>
      <c r="Q46" s="43">
        <v>10</v>
      </c>
      <c r="R46" s="44">
        <v>16</v>
      </c>
      <c r="S46" s="41">
        <v>11.130000000000001</v>
      </c>
      <c r="T46" s="74">
        <v>47.318910690896502</v>
      </c>
      <c r="U46" s="74">
        <v>66.504016985382606</v>
      </c>
      <c r="V46" s="74">
        <v>14.636487380319</v>
      </c>
      <c r="W46" s="75">
        <v>44.621021697686501</v>
      </c>
      <c r="Y46" s="46">
        <v>244289.203125</v>
      </c>
      <c r="Z46" s="46">
        <v>260995.51391601562</v>
      </c>
    </row>
    <row r="47" ht="28.5">
      <c r="A47" s="34">
        <v>45793</v>
      </c>
      <c r="B47" s="77">
        <v>1.5</v>
      </c>
      <c r="C47" s="78">
        <v>-1.6000000000000001</v>
      </c>
      <c r="D47" s="39">
        <v>4</v>
      </c>
      <c r="E47" s="39">
        <v>33</v>
      </c>
      <c r="F47" s="39">
        <v>2160</v>
      </c>
      <c r="G47" s="79" t="s">
        <v>36</v>
      </c>
      <c r="H47" s="39">
        <v>6.3600000000000003</v>
      </c>
      <c r="I47" s="39">
        <v>5.3399999999999999</v>
      </c>
      <c r="J47" s="39">
        <v>18.600000000000001</v>
      </c>
      <c r="K47" s="39">
        <v>-9.3000000000000007</v>
      </c>
      <c r="L47" s="40" t="s">
        <v>32</v>
      </c>
      <c r="N47" s="41">
        <v>1.3</v>
      </c>
      <c r="O47" s="42">
        <v>37.915805217822403</v>
      </c>
      <c r="P47" s="42">
        <v>49.4319439729938</v>
      </c>
      <c r="Q47" s="43">
        <v>10</v>
      </c>
      <c r="R47" s="44">
        <v>16</v>
      </c>
      <c r="S47" s="41">
        <v>11.130000000000001</v>
      </c>
      <c r="T47" s="74">
        <v>46.725258483930901</v>
      </c>
      <c r="U47" s="74">
        <v>64.859445767888303</v>
      </c>
      <c r="V47" s="74">
        <v>14.5187630909461</v>
      </c>
      <c r="W47" s="75">
        <v>43.468476852310999</v>
      </c>
      <c r="Y47" s="46">
        <v>251816.328125</v>
      </c>
      <c r="Z47" s="46">
        <v>256399.01733398438</v>
      </c>
    </row>
    <row r="48" ht="28.5">
      <c r="A48" s="34">
        <v>45794</v>
      </c>
      <c r="B48" s="77">
        <v>0.90000000000000002</v>
      </c>
      <c r="C48" s="78">
        <v>-1.1000000000000001</v>
      </c>
      <c r="D48" s="39">
        <v>4</v>
      </c>
      <c r="E48" s="39">
        <v>39</v>
      </c>
      <c r="F48" s="39">
        <v>2160</v>
      </c>
      <c r="G48" s="79" t="s">
        <v>37</v>
      </c>
      <c r="H48" s="39">
        <v>6.3799999999999999</v>
      </c>
      <c r="I48" s="39">
        <v>5.4500000000000002</v>
      </c>
      <c r="J48" s="39">
        <v>18</v>
      </c>
      <c r="K48" s="39">
        <v>-9.6999999999999993</v>
      </c>
      <c r="L48" s="40" t="s">
        <v>32</v>
      </c>
      <c r="N48" s="41">
        <v>1.3</v>
      </c>
      <c r="O48" s="42">
        <v>37.907055174421401</v>
      </c>
      <c r="P48" s="42">
        <v>49.195152412078997</v>
      </c>
      <c r="Q48" s="43">
        <v>11</v>
      </c>
      <c r="R48" s="44">
        <v>15</v>
      </c>
      <c r="S48" s="41">
        <v>11.130000000000001</v>
      </c>
      <c r="T48" s="74">
        <v>46.469850038334201</v>
      </c>
      <c r="U48" s="74">
        <v>66.113699383823999</v>
      </c>
      <c r="V48" s="74">
        <v>14.3730275855683</v>
      </c>
      <c r="W48" s="75">
        <v>45.457625646326299</v>
      </c>
      <c r="Y48" s="46">
        <v>239635.68750000003</v>
      </c>
      <c r="Z48" s="46">
        <v>258769.1650390625</v>
      </c>
    </row>
    <row r="49" ht="28.5">
      <c r="A49" s="34">
        <v>45795</v>
      </c>
      <c r="B49" s="77">
        <v>0</v>
      </c>
      <c r="C49" s="78">
        <v>-1</v>
      </c>
      <c r="D49" s="39">
        <v>4</v>
      </c>
      <c r="E49" s="39">
        <v>35</v>
      </c>
      <c r="F49" s="39">
        <v>2160</v>
      </c>
      <c r="G49" s="79" t="s">
        <v>38</v>
      </c>
      <c r="H49" s="39">
        <v>6.4500000000000002</v>
      </c>
      <c r="I49" s="39">
        <v>5.5099999999999998</v>
      </c>
      <c r="J49" s="39">
        <v>18.100000000000001</v>
      </c>
      <c r="K49" s="39">
        <v>-9.1999999999999993</v>
      </c>
      <c r="L49" s="40" t="s">
        <v>32</v>
      </c>
      <c r="N49" s="41">
        <v>1.3</v>
      </c>
      <c r="O49" s="47">
        <v>37.999866203102599</v>
      </c>
      <c r="P49" s="42">
        <v>49.634732208845399</v>
      </c>
      <c r="Q49" s="43">
        <v>10</v>
      </c>
      <c r="R49" s="44">
        <v>16</v>
      </c>
      <c r="S49" s="41">
        <v>11.130000000000001</v>
      </c>
      <c r="T49" s="74">
        <v>46.914748010177</v>
      </c>
      <c r="U49" s="74">
        <v>66.890006517029903</v>
      </c>
      <c r="V49" s="74">
        <v>14.4736993363653</v>
      </c>
      <c r="W49" s="75">
        <v>45.765180626119196</v>
      </c>
      <c r="Y49" s="46">
        <v>247559.203125</v>
      </c>
      <c r="Z49" s="46">
        <v>274071.80786132812</v>
      </c>
    </row>
    <row r="50" ht="28.5">
      <c r="A50" s="34">
        <v>45796</v>
      </c>
      <c r="B50" s="77">
        <v>-0.5</v>
      </c>
      <c r="C50" s="78">
        <v>-1.3</v>
      </c>
      <c r="D50" s="39">
        <v>4</v>
      </c>
      <c r="E50" s="39">
        <v>31</v>
      </c>
      <c r="F50" s="39">
        <v>2160</v>
      </c>
      <c r="G50" s="79" t="s">
        <v>36</v>
      </c>
      <c r="H50" s="39">
        <v>6.4900000000000002</v>
      </c>
      <c r="I50" s="39">
        <v>5.5300000000000002</v>
      </c>
      <c r="J50" s="39">
        <v>18</v>
      </c>
      <c r="K50" s="39">
        <v>-9.1999999999999993</v>
      </c>
      <c r="L50" s="40" t="s">
        <v>32</v>
      </c>
      <c r="N50" s="41">
        <v>1.3</v>
      </c>
      <c r="O50" s="47">
        <v>37.913435103183602</v>
      </c>
      <c r="P50" s="42">
        <v>49.837444855167597</v>
      </c>
      <c r="Q50" s="43">
        <v>10</v>
      </c>
      <c r="R50" s="44">
        <v>16</v>
      </c>
      <c r="S50" s="41">
        <v>11.130000000000001</v>
      </c>
      <c r="T50" s="74">
        <v>47.155390532227997</v>
      </c>
      <c r="U50" s="74">
        <v>67.168867330192199</v>
      </c>
      <c r="V50" s="74">
        <v>14.1609640586508</v>
      </c>
      <c r="W50" s="75">
        <v>45.341674223404503</v>
      </c>
      <c r="Y50" s="46">
        <v>248389.45312500003</v>
      </c>
      <c r="Z50" s="46">
        <v>268569.091796875</v>
      </c>
    </row>
    <row r="51" ht="28.5">
      <c r="A51" s="34">
        <v>45797</v>
      </c>
      <c r="B51" s="77">
        <v>-0.69999999999999996</v>
      </c>
      <c r="C51" s="78">
        <v>-0.69999999999999996</v>
      </c>
      <c r="D51" s="39">
        <v>4</v>
      </c>
      <c r="E51" s="39">
        <v>29</v>
      </c>
      <c r="F51" s="39">
        <v>2160</v>
      </c>
      <c r="G51" s="79" t="s">
        <v>36</v>
      </c>
      <c r="H51" s="39">
        <v>6.5</v>
      </c>
      <c r="I51" s="39">
        <v>5.5599999999999996</v>
      </c>
      <c r="J51" s="39">
        <v>16.899999999999999</v>
      </c>
      <c r="K51" s="39">
        <v>-8</v>
      </c>
      <c r="L51" s="40" t="s">
        <v>32</v>
      </c>
      <c r="N51" s="41">
        <v>2.2999999999999998</v>
      </c>
      <c r="O51" s="47">
        <v>38.208670700394698</v>
      </c>
      <c r="P51" s="42">
        <v>50.436673383159999</v>
      </c>
      <c r="Q51" s="43">
        <v>10</v>
      </c>
      <c r="R51" s="44">
        <v>16</v>
      </c>
      <c r="S51" s="41">
        <v>11.130000000000001</v>
      </c>
      <c r="T51" s="76">
        <v>47.871804602411302</v>
      </c>
      <c r="U51" s="74">
        <v>67.088470467210001</v>
      </c>
      <c r="V51" s="74">
        <v>14.293263635580701</v>
      </c>
      <c r="W51" s="75">
        <v>44.028396369258303</v>
      </c>
      <c r="Y51" s="46">
        <v>248006.0625</v>
      </c>
      <c r="Z51" s="46">
        <v>267191.68090820312</v>
      </c>
    </row>
    <row r="52" ht="28.5">
      <c r="A52" s="34">
        <v>45798</v>
      </c>
      <c r="B52" s="77">
        <v>1</v>
      </c>
      <c r="C52" s="78">
        <v>-1</v>
      </c>
      <c r="D52" s="39">
        <v>4</v>
      </c>
      <c r="E52" s="39">
        <v>29</v>
      </c>
      <c r="F52" s="39">
        <v>2035</v>
      </c>
      <c r="G52" s="79" t="s">
        <v>39</v>
      </c>
      <c r="H52" s="39">
        <v>6.3899999999999997</v>
      </c>
      <c r="I52" s="39">
        <v>5.4400000000000004</v>
      </c>
      <c r="J52" s="39">
        <v>16.899999999999999</v>
      </c>
      <c r="K52" s="39">
        <v>-7.5</v>
      </c>
      <c r="L52" s="40" t="s">
        <v>32</v>
      </c>
      <c r="N52" s="41">
        <v>2.2999999999999998</v>
      </c>
      <c r="O52" s="42">
        <v>39.217654016703598</v>
      </c>
      <c r="P52" s="42">
        <v>51.245908969306498</v>
      </c>
      <c r="Q52" s="43">
        <v>10</v>
      </c>
      <c r="R52" s="44">
        <v>16</v>
      </c>
      <c r="S52" s="41">
        <v>11.130000000000001</v>
      </c>
      <c r="T52" s="74">
        <v>48.956878572865001</v>
      </c>
      <c r="U52" s="74">
        <v>66.238287588163999</v>
      </c>
      <c r="V52" s="74">
        <v>14.766479425398201</v>
      </c>
      <c r="W52" s="75">
        <v>41.385690091747797</v>
      </c>
      <c r="Y52" s="46">
        <v>228102.375</v>
      </c>
      <c r="Z52" s="46">
        <v>237020.49255371094</v>
      </c>
    </row>
    <row r="53" ht="28.5">
      <c r="A53" s="34">
        <v>45799</v>
      </c>
      <c r="B53" s="77">
        <v>-0.69999999999999996</v>
      </c>
      <c r="C53" s="78">
        <v>-1.6000000000000001</v>
      </c>
      <c r="D53" s="39">
        <v>4</v>
      </c>
      <c r="E53" s="39">
        <v>20</v>
      </c>
      <c r="F53" s="39">
        <v>2035</v>
      </c>
      <c r="G53" s="79" t="s">
        <v>39</v>
      </c>
      <c r="H53" s="39">
        <v>6.3799999999999999</v>
      </c>
      <c r="I53" s="39">
        <v>5.46</v>
      </c>
      <c r="J53" s="39">
        <v>15.699999999999999</v>
      </c>
      <c r="K53" s="39">
        <v>-7.0999999999999996</v>
      </c>
      <c r="L53" s="40" t="s">
        <v>32</v>
      </c>
      <c r="N53" s="41">
        <v>2.2999999999999998</v>
      </c>
      <c r="O53" s="42">
        <v>39.277532679372698</v>
      </c>
      <c r="P53" s="42">
        <v>51.338350385955003</v>
      </c>
      <c r="Q53" s="43">
        <v>10</v>
      </c>
      <c r="R53" s="44">
        <v>16</v>
      </c>
      <c r="S53" s="41">
        <v>11.130000000000001</v>
      </c>
      <c r="T53" s="74">
        <v>49.032211188001597</v>
      </c>
      <c r="U53" s="74">
        <v>66.281521567174806</v>
      </c>
      <c r="V53" s="74">
        <v>14.412096149308899</v>
      </c>
      <c r="W53" s="75">
        <v>40.890822234722997</v>
      </c>
      <c r="Y53" s="46">
        <v>227006.828125</v>
      </c>
      <c r="Z53" s="46">
        <v>225215.13366699219</v>
      </c>
    </row>
    <row r="54" ht="28.5">
      <c r="A54" s="34">
        <v>45800</v>
      </c>
      <c r="B54" s="77">
        <v>-1.3999999999999999</v>
      </c>
      <c r="C54" s="78">
        <v>-1.3</v>
      </c>
      <c r="D54" s="39">
        <v>4</v>
      </c>
      <c r="E54" s="39">
        <v>22</v>
      </c>
      <c r="F54" s="39">
        <v>2010</v>
      </c>
      <c r="G54" s="79" t="s">
        <v>40</v>
      </c>
      <c r="H54" s="39">
        <v>6.4000000000000004</v>
      </c>
      <c r="I54" s="39">
        <v>5.4500000000000002</v>
      </c>
      <c r="J54" s="39">
        <v>16.800000000000001</v>
      </c>
      <c r="K54" s="39">
        <v>-7.5</v>
      </c>
      <c r="L54" s="40" t="s">
        <v>32</v>
      </c>
      <c r="N54" s="41">
        <v>2.2999999999999998</v>
      </c>
      <c r="O54" s="42">
        <v>39.402675167162997</v>
      </c>
      <c r="P54" s="42">
        <v>51.7674490890181</v>
      </c>
      <c r="Q54" s="43">
        <v>10</v>
      </c>
      <c r="R54" s="44">
        <v>16</v>
      </c>
      <c r="S54" s="41">
        <v>11.130000000000001</v>
      </c>
      <c r="T54" s="74">
        <v>49.540408758568198</v>
      </c>
      <c r="U54" s="74">
        <v>66.287331024033904</v>
      </c>
      <c r="V54" s="74">
        <v>14.6576149281435</v>
      </c>
      <c r="W54" s="75">
        <v>40.2781826204955</v>
      </c>
      <c r="Y54" s="46">
        <v>229575.015625</v>
      </c>
      <c r="Z54" s="46">
        <v>219073.02856445312</v>
      </c>
    </row>
    <row r="55" ht="28.5">
      <c r="A55" s="34">
        <v>45801</v>
      </c>
      <c r="B55" s="77">
        <v>-3.3999999999999999</v>
      </c>
      <c r="C55" s="78">
        <v>-0.80000000000000004</v>
      </c>
      <c r="D55" s="39">
        <v>4</v>
      </c>
      <c r="E55" s="39">
        <v>24</v>
      </c>
      <c r="F55" s="39">
        <v>2040</v>
      </c>
      <c r="G55" s="79" t="s">
        <v>41</v>
      </c>
      <c r="H55" s="39">
        <v>6.4400000000000004</v>
      </c>
      <c r="I55" s="39">
        <v>5.4900000000000002</v>
      </c>
      <c r="J55" s="39">
        <v>18.600000000000001</v>
      </c>
      <c r="K55" s="39">
        <v>-7.0999999999999996</v>
      </c>
      <c r="L55" s="40" t="s">
        <v>32</v>
      </c>
      <c r="N55" s="41">
        <v>2.2999999999999998</v>
      </c>
      <c r="O55" s="42">
        <v>39.2849707285785</v>
      </c>
      <c r="P55" s="42">
        <v>51.338509321962697</v>
      </c>
      <c r="Q55" s="43">
        <v>10</v>
      </c>
      <c r="R55" s="44">
        <v>16</v>
      </c>
      <c r="S55" s="41">
        <v>11.130000000000001</v>
      </c>
      <c r="T55" s="76">
        <v>49.036086001803</v>
      </c>
      <c r="U55" s="76">
        <v>66.574866298292505</v>
      </c>
      <c r="V55" s="74">
        <v>14.6838889144093</v>
      </c>
      <c r="W55" s="75">
        <v>41.587986986980901</v>
      </c>
      <c r="Y55" s="46">
        <v>230838.359375</v>
      </c>
      <c r="Z55" s="46">
        <v>227125.19836425781</v>
      </c>
    </row>
    <row r="56" ht="28.5">
      <c r="A56" s="34">
        <v>45802</v>
      </c>
      <c r="B56" s="77">
        <v>-0.20000000000000001</v>
      </c>
      <c r="C56" s="78">
        <v>-1.6000000000000001</v>
      </c>
      <c r="D56" s="39">
        <v>4</v>
      </c>
      <c r="E56" s="39">
        <v>25</v>
      </c>
      <c r="F56" s="39">
        <v>2040</v>
      </c>
      <c r="G56" s="79" t="s">
        <v>42</v>
      </c>
      <c r="H56" s="39">
        <v>6.3499999999999996</v>
      </c>
      <c r="I56" s="39">
        <v>5.4199999999999999</v>
      </c>
      <c r="J56" s="39">
        <v>16.5</v>
      </c>
      <c r="K56" s="39">
        <v>-8.0999999999999996</v>
      </c>
      <c r="L56" s="40" t="s">
        <v>32</v>
      </c>
      <c r="N56" s="41">
        <v>2.2999999999999998</v>
      </c>
      <c r="O56" s="42">
        <v>39.356303207630603</v>
      </c>
      <c r="P56" s="42">
        <v>51.414374665698503</v>
      </c>
      <c r="Q56" s="43">
        <v>10</v>
      </c>
      <c r="R56" s="44">
        <v>16</v>
      </c>
      <c r="S56" s="41">
        <v>11.130000000000001</v>
      </c>
      <c r="T56" s="74">
        <v>49.097289480038697</v>
      </c>
      <c r="U56" s="74">
        <v>65.8080854789238</v>
      </c>
      <c r="V56" s="74">
        <v>14.2301998208195</v>
      </c>
      <c r="W56" s="75">
        <v>39.962285916575397</v>
      </c>
      <c r="Y56" s="46">
        <v>230232.03125</v>
      </c>
      <c r="Z56" s="46">
        <v>233016.61682128906</v>
      </c>
    </row>
    <row r="57" ht="28.5">
      <c r="A57" s="34">
        <v>45803</v>
      </c>
      <c r="B57" s="77">
        <v>-1.6000000000000001</v>
      </c>
      <c r="C57" s="78">
        <v>-0.90000000000000002</v>
      </c>
      <c r="D57" s="39">
        <v>4</v>
      </c>
      <c r="E57" s="39">
        <v>23</v>
      </c>
      <c r="F57" s="39">
        <v>2040</v>
      </c>
      <c r="G57" s="79" t="s">
        <v>42</v>
      </c>
      <c r="H57" s="39">
        <v>6.3799999999999999</v>
      </c>
      <c r="I57" s="39">
        <v>5.4199999999999999</v>
      </c>
      <c r="J57" s="39">
        <v>18.800000000000001</v>
      </c>
      <c r="K57" s="39">
        <v>-8</v>
      </c>
      <c r="L57" s="40" t="s">
        <v>32</v>
      </c>
      <c r="N57" s="41">
        <v>2.2999999999999998</v>
      </c>
      <c r="O57" s="42">
        <v>39.372036147141102</v>
      </c>
      <c r="P57" s="42">
        <v>51.433181676785701</v>
      </c>
      <c r="Q57" s="43">
        <v>10</v>
      </c>
      <c r="R57" s="44">
        <v>16</v>
      </c>
      <c r="S57" s="41">
        <v>11.130000000000001</v>
      </c>
      <c r="T57" s="74">
        <v>49.133669428355297</v>
      </c>
      <c r="U57" s="74">
        <v>65.934428774576901</v>
      </c>
      <c r="V57" s="74">
        <v>14.1685204501117</v>
      </c>
      <c r="W57" s="75">
        <v>39.969791799543202</v>
      </c>
      <c r="Y57" s="46">
        <v>229021.42187500003</v>
      </c>
      <c r="Z57" s="46">
        <v>215186.47766113281</v>
      </c>
    </row>
    <row r="58" ht="28.5">
      <c r="A58" s="34">
        <v>45804</v>
      </c>
      <c r="B58" s="77">
        <v>-2.2999999999999998</v>
      </c>
      <c r="C58" s="78">
        <v>-1</v>
      </c>
      <c r="D58" s="39">
        <v>4</v>
      </c>
      <c r="E58" s="39">
        <v>19</v>
      </c>
      <c r="F58" s="39">
        <v>2040</v>
      </c>
      <c r="G58" s="79" t="s">
        <v>42</v>
      </c>
      <c r="H58" s="39">
        <v>6.3600000000000003</v>
      </c>
      <c r="I58" s="39">
        <v>5.4199999999999999</v>
      </c>
      <c r="J58" s="39">
        <v>16.699999999999999</v>
      </c>
      <c r="K58" s="39">
        <v>-7.2999999999999998</v>
      </c>
      <c r="L58" s="40" t="s">
        <v>32</v>
      </c>
      <c r="N58" s="41">
        <v>2.2999999999999998</v>
      </c>
      <c r="O58" s="42">
        <v>39.273398110493602</v>
      </c>
      <c r="P58" s="42">
        <v>51.2514706315376</v>
      </c>
      <c r="Q58" s="43">
        <v>10</v>
      </c>
      <c r="R58" s="44">
        <v>16</v>
      </c>
      <c r="S58" s="41">
        <v>11.130000000000001</v>
      </c>
      <c r="T58" s="74">
        <v>48.957938391378597</v>
      </c>
      <c r="U58" s="74">
        <v>65.981501667783107</v>
      </c>
      <c r="V58" s="74">
        <v>14.5735906921887</v>
      </c>
      <c r="W58" s="75">
        <v>40.8714408233215</v>
      </c>
      <c r="Y58" s="46">
        <v>233862.921875</v>
      </c>
      <c r="Z58" s="46">
        <v>226706.64978027344</v>
      </c>
    </row>
    <row r="59" ht="28.5">
      <c r="A59" s="34">
        <v>45805</v>
      </c>
      <c r="B59" s="77">
        <v>-2.7999999999999998</v>
      </c>
      <c r="C59" s="78">
        <v>-0.80000000000000004</v>
      </c>
      <c r="D59" s="39">
        <v>4</v>
      </c>
      <c r="E59" s="39">
        <v>20</v>
      </c>
      <c r="F59" s="39">
        <v>2040</v>
      </c>
      <c r="G59" s="79" t="s">
        <v>42</v>
      </c>
      <c r="H59" s="39">
        <v>6.4400000000000004</v>
      </c>
      <c r="I59" s="39">
        <v>5.4900000000000002</v>
      </c>
      <c r="J59" s="39">
        <v>16.399999999999999</v>
      </c>
      <c r="K59" s="39">
        <v>-7.2000000000000002</v>
      </c>
      <c r="L59" s="40" t="s">
        <v>32</v>
      </c>
      <c r="N59" s="41">
        <v>1.3</v>
      </c>
      <c r="O59" s="42">
        <v>39.060925226802503</v>
      </c>
      <c r="P59" s="42">
        <v>51.429579943164299</v>
      </c>
      <c r="Q59" s="43">
        <v>10</v>
      </c>
      <c r="R59" s="44">
        <v>16</v>
      </c>
      <c r="S59" s="41">
        <v>11.130000000000001</v>
      </c>
      <c r="T59" s="74">
        <v>49.150893608980198</v>
      </c>
      <c r="U59" s="76">
        <v>66.778402897819007</v>
      </c>
      <c r="V59" s="74">
        <v>14.6953904734922</v>
      </c>
      <c r="W59" s="75">
        <v>41.687857513448897</v>
      </c>
      <c r="Y59" s="46">
        <v>230206.59375</v>
      </c>
      <c r="Z59" s="46">
        <v>229969.3603515625</v>
      </c>
    </row>
    <row r="60" ht="28.5">
      <c r="A60" s="34">
        <v>45806</v>
      </c>
      <c r="B60" s="77">
        <v>2.2999999999999998</v>
      </c>
      <c r="C60" s="78">
        <v>-0.69999999999999996</v>
      </c>
      <c r="D60" s="39">
        <v>4</v>
      </c>
      <c r="E60" s="39">
        <v>29</v>
      </c>
      <c r="F60" s="39">
        <v>2040</v>
      </c>
      <c r="G60" s="79" t="s">
        <v>43</v>
      </c>
      <c r="H60" s="39">
        <v>6.6399999999999997</v>
      </c>
      <c r="I60" s="39">
        <v>5.6500000000000004</v>
      </c>
      <c r="J60" s="39">
        <v>17.699999999999999</v>
      </c>
      <c r="K60" s="39">
        <v>-6.5</v>
      </c>
      <c r="L60" s="40" t="s">
        <v>32</v>
      </c>
      <c r="N60" s="41">
        <v>1.3</v>
      </c>
      <c r="O60" s="42">
        <v>39.117908992062901</v>
      </c>
      <c r="P60" s="42">
        <v>51.926782578042904</v>
      </c>
      <c r="Q60" s="43">
        <v>10</v>
      </c>
      <c r="R60" s="44">
        <v>16</v>
      </c>
      <c r="S60" s="41">
        <v>11.130000000000001</v>
      </c>
      <c r="T60" s="74">
        <v>49.6518474077563</v>
      </c>
      <c r="U60" s="74">
        <v>68.782246541584996</v>
      </c>
      <c r="V60" s="74">
        <v>14.255941821684999</v>
      </c>
      <c r="W60" s="75">
        <v>42.918752819439803</v>
      </c>
      <c r="Y60" s="46">
        <v>236945.546875</v>
      </c>
      <c r="Z60" s="46">
        <v>241497.58911132812</v>
      </c>
    </row>
    <row r="61" ht="28.5">
      <c r="A61" s="34">
        <v>45807</v>
      </c>
      <c r="B61" s="77">
        <v>0.5</v>
      </c>
      <c r="C61" s="78">
        <v>-1.3999999999999999</v>
      </c>
      <c r="D61" s="39">
        <v>4</v>
      </c>
      <c r="E61" s="39">
        <v>22</v>
      </c>
      <c r="F61" s="39">
        <v>2040</v>
      </c>
      <c r="G61" s="79" t="s">
        <v>43</v>
      </c>
      <c r="H61" s="39">
        <v>6.7000000000000002</v>
      </c>
      <c r="I61" s="39">
        <v>5.7400000000000002</v>
      </c>
      <c r="J61" s="39">
        <v>15.1</v>
      </c>
      <c r="K61" s="39">
        <v>-6.2999999999999998</v>
      </c>
      <c r="L61" s="40" t="s">
        <v>32</v>
      </c>
      <c r="N61" s="41">
        <v>1.3</v>
      </c>
      <c r="O61" s="42">
        <v>38.047477212481702</v>
      </c>
      <c r="P61" s="42">
        <v>51.874197613785803</v>
      </c>
      <c r="Q61" s="43">
        <v>10</v>
      </c>
      <c r="R61" s="44">
        <v>16</v>
      </c>
      <c r="S61" s="41">
        <v>11.130000000000001</v>
      </c>
      <c r="T61" s="76">
        <v>49.306119301634602</v>
      </c>
      <c r="U61" s="74">
        <v>70.469252927532196</v>
      </c>
      <c r="V61" s="74">
        <v>14.1737463050658</v>
      </c>
      <c r="W61" s="75">
        <v>45.7185749360915</v>
      </c>
      <c r="Y61" s="46">
        <v>243697.640625</v>
      </c>
      <c r="Z61" s="46">
        <v>251429.47387695312</v>
      </c>
    </row>
    <row r="62" ht="28.5">
      <c r="A62" s="50">
        <v>45808</v>
      </c>
      <c r="B62" s="80">
        <v>0.90000000000000002</v>
      </c>
      <c r="C62" s="81">
        <v>-1.5</v>
      </c>
      <c r="D62" s="55">
        <v>4</v>
      </c>
      <c r="E62" s="55">
        <v>25</v>
      </c>
      <c r="F62" s="55">
        <v>2260</v>
      </c>
      <c r="G62" s="82" t="s">
        <v>31</v>
      </c>
      <c r="H62" s="55">
        <v>6.8200000000000003</v>
      </c>
      <c r="I62" s="55">
        <v>5.7800000000000002</v>
      </c>
      <c r="J62" s="55">
        <v>16</v>
      </c>
      <c r="K62" s="55">
        <v>-7.4000000000000004</v>
      </c>
      <c r="L62" s="56" t="s">
        <v>32</v>
      </c>
      <c r="N62" s="83">
        <v>1.3</v>
      </c>
      <c r="O62" s="84">
        <v>36.946438948843202</v>
      </c>
      <c r="P62" s="84">
        <v>51.5605687614282</v>
      </c>
      <c r="Q62" s="85">
        <v>10</v>
      </c>
      <c r="R62" s="86">
        <v>16</v>
      </c>
      <c r="S62" s="83">
        <v>11.130000000000001</v>
      </c>
      <c r="T62" s="87">
        <v>48.725934575178002</v>
      </c>
      <c r="U62" s="87">
        <v>70.729747661837806</v>
      </c>
      <c r="V62" s="87">
        <v>14.5390237964966</v>
      </c>
      <c r="W62" s="88">
        <v>47.588860133047497</v>
      </c>
      <c r="Y62" s="64">
        <v>299681.875</v>
      </c>
      <c r="Z62" s="64">
        <v>286392.822265625</v>
      </c>
    </row>
    <row r="63" ht="15">
      <c r="A63" s="89">
        <v>45931</v>
      </c>
      <c r="B63" s="90" t="s">
        <v>44</v>
      </c>
      <c r="C63" s="66" t="s">
        <v>45</v>
      </c>
      <c r="D63" s="91" t="s">
        <v>46</v>
      </c>
      <c r="E63" s="91" t="s">
        <v>47</v>
      </c>
      <c r="F63" s="92" t="s">
        <v>48</v>
      </c>
      <c r="G63" s="93" t="s">
        <v>49</v>
      </c>
      <c r="H63" s="93">
        <v>6.71</v>
      </c>
      <c r="I63" s="93">
        <v>5.6299999999999999</v>
      </c>
      <c r="J63" s="93">
        <v>11.199999999999999</v>
      </c>
      <c r="K63" s="93">
        <v>-1</v>
      </c>
      <c r="L63" s="94" t="s">
        <v>50</v>
      </c>
      <c r="M63" s="3"/>
      <c r="N63" s="95">
        <v>1.3</v>
      </c>
      <c r="O63" s="93">
        <v>36.100000000000001</v>
      </c>
      <c r="P63" s="93">
        <v>49.200000000000003</v>
      </c>
      <c r="Q63" s="93">
        <v>11</v>
      </c>
      <c r="R63" s="96">
        <v>18</v>
      </c>
      <c r="S63" s="95">
        <v>11.130000000000001</v>
      </c>
      <c r="T63" s="93">
        <v>46.799999999999997</v>
      </c>
      <c r="U63" s="93">
        <v>67.200000000000003</v>
      </c>
      <c r="V63" s="93">
        <v>17</v>
      </c>
      <c r="W63" s="94">
        <v>15</v>
      </c>
      <c r="Y63" s="45">
        <v>299952.75</v>
      </c>
      <c r="Z63" s="45">
        <v>279644.47021484375</v>
      </c>
    </row>
    <row r="64" ht="15">
      <c r="A64" s="97">
        <v>45932</v>
      </c>
      <c r="B64" s="98" t="s">
        <v>51</v>
      </c>
      <c r="C64" s="99" t="s">
        <v>52</v>
      </c>
      <c r="D64" s="100" t="s">
        <v>46</v>
      </c>
      <c r="E64" s="100" t="s">
        <v>53</v>
      </c>
      <c r="F64" s="101" t="s">
        <v>48</v>
      </c>
      <c r="G64" s="102" t="s">
        <v>54</v>
      </c>
      <c r="H64" s="102">
        <v>6.4800000000000004</v>
      </c>
      <c r="I64" s="102">
        <v>5.4199999999999999</v>
      </c>
      <c r="J64" s="102">
        <v>12.4</v>
      </c>
      <c r="K64" s="102">
        <v>-1</v>
      </c>
      <c r="L64" s="103" t="s">
        <v>50</v>
      </c>
      <c r="M64" s="3"/>
      <c r="N64" s="104">
        <v>1.3</v>
      </c>
      <c r="O64" s="102">
        <v>36</v>
      </c>
      <c r="P64" s="102">
        <v>48.600000000000001</v>
      </c>
      <c r="Q64" s="102">
        <v>11</v>
      </c>
      <c r="R64" s="105">
        <v>18</v>
      </c>
      <c r="S64" s="104">
        <v>11.130000000000001</v>
      </c>
      <c r="T64" s="102">
        <v>46.200000000000003</v>
      </c>
      <c r="U64" s="102">
        <v>64.799999999999997</v>
      </c>
      <c r="V64" s="102">
        <v>17</v>
      </c>
      <c r="W64" s="103">
        <v>16</v>
      </c>
      <c r="Y64" s="46">
        <v>204561.5625</v>
      </c>
      <c r="Z64" s="46">
        <v>283866.455078125</v>
      </c>
    </row>
    <row r="65" ht="15">
      <c r="A65" s="97">
        <v>45933</v>
      </c>
      <c r="B65" s="98" t="s">
        <v>55</v>
      </c>
      <c r="C65" s="99" t="s">
        <v>56</v>
      </c>
      <c r="D65" s="100" t="s">
        <v>46</v>
      </c>
      <c r="E65" s="100" t="s">
        <v>57</v>
      </c>
      <c r="F65" s="101" t="s">
        <v>48</v>
      </c>
      <c r="G65" s="102" t="s">
        <v>58</v>
      </c>
      <c r="H65" s="102">
        <v>6.3300000000000001</v>
      </c>
      <c r="I65" s="102">
        <v>5.3099999999999996</v>
      </c>
      <c r="J65" s="102">
        <v>15.1</v>
      </c>
      <c r="K65" s="102">
        <v>-1.3</v>
      </c>
      <c r="L65" s="103" t="s">
        <v>50</v>
      </c>
      <c r="M65" s="3"/>
      <c r="N65" s="104">
        <v>1.3</v>
      </c>
      <c r="O65" s="102">
        <v>36.799999999999997</v>
      </c>
      <c r="P65" s="102">
        <v>48.799999999999997</v>
      </c>
      <c r="Q65" s="102">
        <v>11</v>
      </c>
      <c r="R65" s="105">
        <v>18</v>
      </c>
      <c r="S65" s="104">
        <v>11.130000000000001</v>
      </c>
      <c r="T65" s="102">
        <v>46.399999999999999</v>
      </c>
      <c r="U65" s="102">
        <v>63.399999999999999</v>
      </c>
      <c r="V65" s="102">
        <v>17</v>
      </c>
      <c r="W65" s="103">
        <v>17</v>
      </c>
      <c r="Y65" s="46">
        <v>346582.34375</v>
      </c>
      <c r="Z65" s="46">
        <v>272429.74853515625</v>
      </c>
    </row>
    <row r="66" ht="15">
      <c r="A66" s="97">
        <v>45934</v>
      </c>
      <c r="B66" s="98" t="s">
        <v>59</v>
      </c>
      <c r="C66" s="99" t="s">
        <v>60</v>
      </c>
      <c r="D66" s="100" t="s">
        <v>46</v>
      </c>
      <c r="E66" s="100" t="s">
        <v>61</v>
      </c>
      <c r="F66" s="101" t="s">
        <v>62</v>
      </c>
      <c r="G66" s="102" t="s">
        <v>49</v>
      </c>
      <c r="H66" s="102">
        <v>6.0899999999999999</v>
      </c>
      <c r="I66" s="102">
        <v>5.1100000000000003</v>
      </c>
      <c r="J66" s="102">
        <v>15.9</v>
      </c>
      <c r="K66" s="102">
        <v>-1.2</v>
      </c>
      <c r="L66" s="103" t="s">
        <v>50</v>
      </c>
      <c r="M66" s="3"/>
      <c r="N66" s="104">
        <v>1.3</v>
      </c>
      <c r="O66" s="102">
        <v>38.600000000000001</v>
      </c>
      <c r="P66" s="102">
        <v>49.200000000000003</v>
      </c>
      <c r="Q66" s="102">
        <v>11</v>
      </c>
      <c r="R66" s="105">
        <v>18</v>
      </c>
      <c r="S66" s="104">
        <v>11.130000000000001</v>
      </c>
      <c r="T66" s="102">
        <v>47.5</v>
      </c>
      <c r="U66" s="102">
        <v>61.100000000000001</v>
      </c>
      <c r="V66" s="102">
        <v>17</v>
      </c>
      <c r="W66" s="103">
        <v>20</v>
      </c>
      <c r="Y66" s="46">
        <v>286755.5625</v>
      </c>
      <c r="Z66" s="46">
        <v>234161.94152832031</v>
      </c>
    </row>
    <row r="67" ht="15">
      <c r="A67" s="97">
        <v>45935</v>
      </c>
      <c r="B67" s="98" t="s">
        <v>63</v>
      </c>
      <c r="C67" s="99" t="s">
        <v>64</v>
      </c>
      <c r="D67" s="100" t="s">
        <v>65</v>
      </c>
      <c r="E67" s="100" t="s">
        <v>66</v>
      </c>
      <c r="F67" s="101" t="s">
        <v>67</v>
      </c>
      <c r="G67" s="102" t="s">
        <v>68</v>
      </c>
      <c r="H67" s="102">
        <v>6.0199999999999996</v>
      </c>
      <c r="I67" s="102">
        <v>5.0300000000000002</v>
      </c>
      <c r="J67" s="102">
        <v>17.800000000000001</v>
      </c>
      <c r="K67" s="102">
        <v>-1</v>
      </c>
      <c r="L67" s="103" t="s">
        <v>69</v>
      </c>
      <c r="M67" s="3"/>
      <c r="N67" s="104">
        <v>1.3</v>
      </c>
      <c r="O67" s="102">
        <v>39</v>
      </c>
      <c r="P67" s="102">
        <v>49</v>
      </c>
      <c r="Q67" s="102">
        <v>11</v>
      </c>
      <c r="R67" s="105">
        <v>17</v>
      </c>
      <c r="S67" s="104">
        <v>11.130000000000001</v>
      </c>
      <c r="T67" s="102">
        <v>47.299999999999997</v>
      </c>
      <c r="U67" s="102">
        <v>60.899999999999999</v>
      </c>
      <c r="V67" s="102">
        <v>16</v>
      </c>
      <c r="W67" s="103">
        <v>20</v>
      </c>
      <c r="Y67" s="46">
        <v>220310.46875</v>
      </c>
      <c r="Z67" s="46">
        <v>198261.48986816406</v>
      </c>
    </row>
    <row r="68" ht="15">
      <c r="A68" s="97">
        <v>45936</v>
      </c>
      <c r="B68" s="98" t="s">
        <v>70</v>
      </c>
      <c r="C68" s="99" t="s">
        <v>52</v>
      </c>
      <c r="D68" s="100" t="s">
        <v>65</v>
      </c>
      <c r="E68" s="100" t="s">
        <v>61</v>
      </c>
      <c r="F68" s="101" t="s">
        <v>67</v>
      </c>
      <c r="G68" s="102" t="s">
        <v>71</v>
      </c>
      <c r="H68" s="102">
        <v>6.0899999999999999</v>
      </c>
      <c r="I68" s="102">
        <v>5.1399999999999997</v>
      </c>
      <c r="J68" s="102">
        <v>15.300000000000001</v>
      </c>
      <c r="K68" s="102">
        <v>-0.80000000000000004</v>
      </c>
      <c r="L68" s="103" t="s">
        <v>69</v>
      </c>
      <c r="M68" s="3"/>
      <c r="N68" s="104">
        <v>1.3</v>
      </c>
      <c r="O68" s="102">
        <v>38.899999999999999</v>
      </c>
      <c r="P68" s="102">
        <v>48.899999999999999</v>
      </c>
      <c r="Q68" s="102">
        <v>11</v>
      </c>
      <c r="R68" s="105">
        <v>16</v>
      </c>
      <c r="S68" s="104">
        <v>11.130000000000001</v>
      </c>
      <c r="T68" s="102">
        <v>47.200000000000003</v>
      </c>
      <c r="U68" s="102">
        <v>61.200000000000003</v>
      </c>
      <c r="V68" s="102">
        <v>15</v>
      </c>
      <c r="W68" s="103">
        <v>19</v>
      </c>
      <c r="Y68" s="46">
        <v>215625.03125</v>
      </c>
      <c r="Z68" s="46">
        <v>210435.76049804688</v>
      </c>
    </row>
    <row r="69" ht="15">
      <c r="A69" s="97">
        <v>45937</v>
      </c>
      <c r="B69" s="98" t="s">
        <v>72</v>
      </c>
      <c r="C69" s="99" t="s">
        <v>73</v>
      </c>
      <c r="D69" s="100" t="s">
        <v>65</v>
      </c>
      <c r="E69" s="100" t="s">
        <v>74</v>
      </c>
      <c r="F69" s="101" t="s">
        <v>67</v>
      </c>
      <c r="G69" s="102" t="s">
        <v>75</v>
      </c>
      <c r="H69" s="102">
        <v>6.1699999999999999</v>
      </c>
      <c r="I69" s="102">
        <v>5.1699999999999999</v>
      </c>
      <c r="J69" s="102">
        <v>20.640000000000001</v>
      </c>
      <c r="K69" s="102">
        <v>-0.80000000000000004</v>
      </c>
      <c r="L69" s="103" t="s">
        <v>69</v>
      </c>
      <c r="M69" s="3"/>
      <c r="N69" s="104">
        <v>1.3</v>
      </c>
      <c r="O69" s="102">
        <v>38.899999999999999</v>
      </c>
      <c r="P69" s="102">
        <v>49.299999999999997</v>
      </c>
      <c r="Q69" s="102">
        <v>11</v>
      </c>
      <c r="R69" s="105">
        <v>16</v>
      </c>
      <c r="S69" s="104">
        <v>11.130000000000001</v>
      </c>
      <c r="T69" s="102">
        <v>47.5</v>
      </c>
      <c r="U69" s="102">
        <v>61.799999999999997</v>
      </c>
      <c r="V69" s="102">
        <v>15</v>
      </c>
      <c r="W69" s="103">
        <v>21</v>
      </c>
      <c r="Y69" s="46">
        <v>215593.453125</v>
      </c>
      <c r="Z69" s="46">
        <v>210708.26721191406</v>
      </c>
    </row>
    <row r="70" ht="15">
      <c r="A70" s="97">
        <v>45938</v>
      </c>
      <c r="B70" s="98" t="s">
        <v>76</v>
      </c>
      <c r="C70" s="99" t="s">
        <v>60</v>
      </c>
      <c r="D70" s="100" t="s">
        <v>65</v>
      </c>
      <c r="E70" s="100" t="s">
        <v>77</v>
      </c>
      <c r="F70" s="101" t="s">
        <v>67</v>
      </c>
      <c r="G70" s="102" t="s">
        <v>78</v>
      </c>
      <c r="H70" s="102">
        <v>6.1500000000000004</v>
      </c>
      <c r="I70" s="102">
        <v>5.1500000000000004</v>
      </c>
      <c r="J70" s="102">
        <v>17.899999999999999</v>
      </c>
      <c r="K70" s="102">
        <v>-1.28</v>
      </c>
      <c r="L70" s="103" t="s">
        <v>69</v>
      </c>
      <c r="M70" s="3"/>
      <c r="N70" s="104">
        <v>1.3</v>
      </c>
      <c r="O70" s="102">
        <v>39</v>
      </c>
      <c r="P70" s="102">
        <v>49.399999999999999</v>
      </c>
      <c r="Q70" s="102">
        <v>11</v>
      </c>
      <c r="R70" s="105">
        <v>17</v>
      </c>
      <c r="S70" s="104">
        <v>11.130000000000001</v>
      </c>
      <c r="T70" s="102">
        <v>47.600000000000001</v>
      </c>
      <c r="U70" s="102">
        <v>61.700000000000003</v>
      </c>
      <c r="V70" s="102">
        <v>15</v>
      </c>
      <c r="W70" s="103">
        <v>20</v>
      </c>
      <c r="Y70" s="46">
        <v>217544.125</v>
      </c>
      <c r="Z70" s="46">
        <v>208364.6240234375</v>
      </c>
    </row>
    <row r="71" ht="15">
      <c r="A71" s="97">
        <v>45939</v>
      </c>
      <c r="B71" s="98" t="s">
        <v>79</v>
      </c>
      <c r="C71" s="99" t="s">
        <v>52</v>
      </c>
      <c r="D71" s="100" t="s">
        <v>65</v>
      </c>
      <c r="E71" s="100" t="s">
        <v>80</v>
      </c>
      <c r="F71" s="101" t="s">
        <v>67</v>
      </c>
      <c r="G71" s="102" t="s">
        <v>78</v>
      </c>
      <c r="H71" s="102">
        <v>6.1200000000000001</v>
      </c>
      <c r="I71" s="102">
        <v>5.1600000000000001</v>
      </c>
      <c r="J71" s="102">
        <v>17.27</v>
      </c>
      <c r="K71" s="102">
        <v>-1.3899999999999999</v>
      </c>
      <c r="L71" s="103" t="s">
        <v>69</v>
      </c>
      <c r="M71" s="3"/>
      <c r="N71" s="104">
        <v>1.3</v>
      </c>
      <c r="O71" s="102">
        <v>39</v>
      </c>
      <c r="P71" s="102">
        <v>49.299999999999997</v>
      </c>
      <c r="Q71" s="102">
        <v>11</v>
      </c>
      <c r="R71" s="105">
        <v>16</v>
      </c>
      <c r="S71" s="104">
        <v>11.130000000000001</v>
      </c>
      <c r="T71" s="102">
        <v>47.600000000000001</v>
      </c>
      <c r="U71" s="102">
        <v>61.399999999999999</v>
      </c>
      <c r="V71" s="102">
        <v>15</v>
      </c>
      <c r="W71" s="103">
        <v>20</v>
      </c>
      <c r="Y71" s="46">
        <v>218879.921875</v>
      </c>
      <c r="Z71" s="46">
        <v>204158.78295898438</v>
      </c>
    </row>
    <row r="72" ht="15">
      <c r="A72" s="97">
        <v>45940</v>
      </c>
      <c r="B72" s="98" t="s">
        <v>81</v>
      </c>
      <c r="C72" s="99" t="s">
        <v>82</v>
      </c>
      <c r="D72" s="100" t="s">
        <v>65</v>
      </c>
      <c r="E72" s="100" t="s">
        <v>83</v>
      </c>
      <c r="F72" s="101" t="s">
        <v>67</v>
      </c>
      <c r="G72" s="102" t="s">
        <v>84</v>
      </c>
      <c r="H72" s="102">
        <v>6.0599999999999996</v>
      </c>
      <c r="I72" s="102">
        <v>5.0999999999999996</v>
      </c>
      <c r="J72" s="102">
        <v>18.09</v>
      </c>
      <c r="K72" s="102">
        <v>-0.90000000000000002</v>
      </c>
      <c r="L72" s="103" t="s">
        <v>69</v>
      </c>
      <c r="M72" s="3"/>
      <c r="N72" s="104">
        <v>1.3</v>
      </c>
      <c r="O72" s="102">
        <v>41</v>
      </c>
      <c r="P72" s="102">
        <v>53</v>
      </c>
      <c r="Q72" s="102">
        <v>11</v>
      </c>
      <c r="R72" s="105">
        <v>17</v>
      </c>
      <c r="S72" s="104">
        <v>11.130000000000001</v>
      </c>
      <c r="T72" s="102">
        <v>49.600000000000001</v>
      </c>
      <c r="U72" s="102">
        <v>57</v>
      </c>
      <c r="V72" s="102">
        <v>16</v>
      </c>
      <c r="W72" s="103">
        <v>19</v>
      </c>
      <c r="Y72" s="46">
        <v>215488.6875</v>
      </c>
      <c r="Z72" s="46">
        <v>197518.58520507812</v>
      </c>
    </row>
    <row r="73" ht="15">
      <c r="A73" s="97">
        <v>45941</v>
      </c>
      <c r="B73" s="98" t="s">
        <v>85</v>
      </c>
      <c r="C73" s="99" t="s">
        <v>45</v>
      </c>
      <c r="D73" s="100" t="s">
        <v>65</v>
      </c>
      <c r="E73" s="100" t="s">
        <v>47</v>
      </c>
      <c r="F73" s="101" t="s">
        <v>86</v>
      </c>
      <c r="G73" s="102" t="s">
        <v>49</v>
      </c>
      <c r="H73" s="102">
        <v>5.71</v>
      </c>
      <c r="I73" s="102">
        <v>4.9299999999999997</v>
      </c>
      <c r="J73" s="102">
        <v>19.800000000000001</v>
      </c>
      <c r="K73" s="102">
        <v>-1.3999999999999999</v>
      </c>
      <c r="L73" s="103" t="s">
        <v>69</v>
      </c>
      <c r="M73" s="3"/>
      <c r="N73" s="104">
        <v>1.3</v>
      </c>
      <c r="O73" s="102">
        <v>42.600000000000001</v>
      </c>
      <c r="P73" s="102">
        <v>59</v>
      </c>
      <c r="Q73" s="102">
        <v>9</v>
      </c>
      <c r="R73" s="105">
        <v>20</v>
      </c>
      <c r="S73" s="104" t="s">
        <v>25</v>
      </c>
      <c r="T73" s="102" t="s">
        <v>25</v>
      </c>
      <c r="U73" s="102" t="s">
        <v>25</v>
      </c>
      <c r="V73" s="102" t="s">
        <v>25</v>
      </c>
      <c r="W73" s="103" t="s">
        <v>25</v>
      </c>
      <c r="Y73" s="46">
        <v>218914.42187500003</v>
      </c>
      <c r="Z73" s="46">
        <v>20745.161056518555</v>
      </c>
    </row>
    <row r="74" ht="15">
      <c r="A74" s="97">
        <v>45942</v>
      </c>
      <c r="B74" s="98" t="s">
        <v>87</v>
      </c>
      <c r="C74" s="99" t="s">
        <v>64</v>
      </c>
      <c r="D74" s="100" t="s">
        <v>65</v>
      </c>
      <c r="E74" s="100" t="s">
        <v>88</v>
      </c>
      <c r="F74" s="101" t="s">
        <v>86</v>
      </c>
      <c r="G74" s="102" t="s">
        <v>49</v>
      </c>
      <c r="H74" s="102">
        <v>5.75</v>
      </c>
      <c r="I74" s="102">
        <v>4.9800000000000004</v>
      </c>
      <c r="J74" s="102">
        <v>14.5</v>
      </c>
      <c r="K74" s="102">
        <v>-0.90000000000000002</v>
      </c>
      <c r="L74" s="103" t="s">
        <v>69</v>
      </c>
      <c r="M74" s="3"/>
      <c r="N74" s="104">
        <v>1.3</v>
      </c>
      <c r="O74" s="102">
        <v>42.600000000000001</v>
      </c>
      <c r="P74" s="102">
        <v>59.200000000000003</v>
      </c>
      <c r="Q74" s="102">
        <v>9</v>
      </c>
      <c r="R74" s="105">
        <v>20</v>
      </c>
      <c r="S74" s="104" t="s">
        <v>25</v>
      </c>
      <c r="T74" s="102" t="s">
        <v>25</v>
      </c>
      <c r="U74" s="102" t="s">
        <v>25</v>
      </c>
      <c r="V74" s="102" t="s">
        <v>25</v>
      </c>
      <c r="W74" s="103" t="s">
        <v>25</v>
      </c>
      <c r="Y74" s="46">
        <v>213560.21875000003</v>
      </c>
      <c r="Z74" s="46">
        <v>0</v>
      </c>
    </row>
    <row r="75" ht="15">
      <c r="A75" s="97">
        <v>45943</v>
      </c>
      <c r="B75" s="106" t="s">
        <v>89</v>
      </c>
      <c r="C75" s="107" t="s">
        <v>52</v>
      </c>
      <c r="D75" s="108" t="s">
        <v>65</v>
      </c>
      <c r="E75" s="108" t="s">
        <v>88</v>
      </c>
      <c r="F75" s="109" t="s">
        <v>86</v>
      </c>
      <c r="G75" s="110" t="s">
        <v>49</v>
      </c>
      <c r="H75" s="110">
        <v>5.75</v>
      </c>
      <c r="I75" s="110">
        <v>4.9900000000000002</v>
      </c>
      <c r="J75" s="110">
        <v>14.67</v>
      </c>
      <c r="K75" s="110">
        <v>-1</v>
      </c>
      <c r="L75" s="111" t="s">
        <v>69</v>
      </c>
      <c r="M75" s="3"/>
      <c r="N75" s="104">
        <v>1.3</v>
      </c>
      <c r="O75" s="102">
        <v>42.600000000000001</v>
      </c>
      <c r="P75" s="102">
        <v>59.399999999999999</v>
      </c>
      <c r="Q75" s="102">
        <v>9</v>
      </c>
      <c r="R75" s="105">
        <v>19</v>
      </c>
      <c r="S75" s="104" t="s">
        <v>25</v>
      </c>
      <c r="T75" s="102" t="s">
        <v>25</v>
      </c>
      <c r="U75" s="102" t="s">
        <v>25</v>
      </c>
      <c r="V75" s="102" t="s">
        <v>25</v>
      </c>
      <c r="W75" s="103" t="s">
        <v>25</v>
      </c>
      <c r="Y75" s="46">
        <v>211658.921875</v>
      </c>
      <c r="Z75" s="46">
        <v>0</v>
      </c>
    </row>
    <row r="76">
      <c r="A76" s="97">
        <v>45944</v>
      </c>
      <c r="B76" s="112">
        <v>-2</v>
      </c>
      <c r="C76" s="113">
        <v>-0.90000000000000002</v>
      </c>
      <c r="D76" s="102">
        <v>5</v>
      </c>
      <c r="E76" s="102">
        <v>11</v>
      </c>
      <c r="F76" s="102">
        <v>1450</v>
      </c>
      <c r="G76" s="102" t="s">
        <v>49</v>
      </c>
      <c r="H76" s="102">
        <v>5.7800000000000002</v>
      </c>
      <c r="I76" s="102">
        <v>5.0199999999999996</v>
      </c>
      <c r="J76" s="102">
        <v>14.34</v>
      </c>
      <c r="K76" s="102">
        <v>-0.85999999999999999</v>
      </c>
      <c r="L76" s="103" t="s">
        <v>69</v>
      </c>
      <c r="M76" s="3"/>
      <c r="N76" s="104">
        <v>1.3</v>
      </c>
      <c r="O76" s="102">
        <v>42.399999999999999</v>
      </c>
      <c r="P76" s="102">
        <v>59.5</v>
      </c>
      <c r="Q76" s="102">
        <v>9</v>
      </c>
      <c r="R76" s="105">
        <v>19</v>
      </c>
      <c r="S76" s="104" t="s">
        <v>25</v>
      </c>
      <c r="T76" s="102" t="s">
        <v>25</v>
      </c>
      <c r="U76" s="102" t="s">
        <v>25</v>
      </c>
      <c r="V76" s="102" t="s">
        <v>25</v>
      </c>
      <c r="W76" s="103" t="s">
        <v>25</v>
      </c>
      <c r="Y76" s="46">
        <v>214190.984375</v>
      </c>
      <c r="Z76" s="46">
        <v>0</v>
      </c>
    </row>
    <row r="77">
      <c r="A77" s="97">
        <v>45945</v>
      </c>
      <c r="B77" s="112">
        <v>-1.5933411121368408</v>
      </c>
      <c r="C77" s="113">
        <v>-1.6000000000000001</v>
      </c>
      <c r="D77" s="102">
        <v>5</v>
      </c>
      <c r="E77" s="102">
        <v>9</v>
      </c>
      <c r="F77" s="102">
        <v>1450</v>
      </c>
      <c r="G77" s="102" t="s">
        <v>90</v>
      </c>
      <c r="H77" s="102">
        <v>5.7699999999999996</v>
      </c>
      <c r="I77" s="102">
        <v>5.0199999999999996</v>
      </c>
      <c r="J77" s="102">
        <v>13.4</v>
      </c>
      <c r="K77" s="102">
        <v>-0.90000000000000002</v>
      </c>
      <c r="L77" s="103" t="s">
        <v>69</v>
      </c>
      <c r="M77" s="3"/>
      <c r="N77" s="104">
        <v>1.3</v>
      </c>
      <c r="O77" s="102">
        <v>40.799999999999997</v>
      </c>
      <c r="P77" s="102">
        <v>60.200000000000003</v>
      </c>
      <c r="Q77" s="102">
        <v>9</v>
      </c>
      <c r="R77" s="105">
        <v>19</v>
      </c>
      <c r="S77" s="104" t="s">
        <v>25</v>
      </c>
      <c r="T77" s="102" t="s">
        <v>25</v>
      </c>
      <c r="U77" s="102" t="s">
        <v>25</v>
      </c>
      <c r="V77" s="102" t="s">
        <v>25</v>
      </c>
      <c r="W77" s="103" t="s">
        <v>25</v>
      </c>
      <c r="Y77" s="46">
        <v>216181.21875</v>
      </c>
      <c r="Z77" s="46">
        <v>0</v>
      </c>
    </row>
    <row r="78">
      <c r="A78" s="97">
        <v>45946</v>
      </c>
      <c r="B78" s="112">
        <v>0.17152467370033264</v>
      </c>
      <c r="C78" s="113">
        <v>-1.3999999999999999</v>
      </c>
      <c r="D78" s="102">
        <v>5</v>
      </c>
      <c r="E78" s="102">
        <v>60</v>
      </c>
      <c r="F78" s="102">
        <v>1870</v>
      </c>
      <c r="G78" s="102" t="s">
        <v>91</v>
      </c>
      <c r="H78" s="102">
        <v>5.8700000000000001</v>
      </c>
      <c r="I78" s="102">
        <v>5.3300000000000001</v>
      </c>
      <c r="J78" s="102">
        <v>13.9</v>
      </c>
      <c r="K78" s="102">
        <v>-1</v>
      </c>
      <c r="L78" s="103" t="s">
        <v>69</v>
      </c>
      <c r="M78" s="3"/>
      <c r="N78" s="104">
        <v>1.3</v>
      </c>
      <c r="O78" s="102">
        <v>39.700000000000003</v>
      </c>
      <c r="P78" s="102">
        <v>61</v>
      </c>
      <c r="Q78" s="102">
        <v>10</v>
      </c>
      <c r="R78" s="105">
        <v>18</v>
      </c>
      <c r="S78" s="104" t="s">
        <v>25</v>
      </c>
      <c r="T78" s="102" t="s">
        <v>25</v>
      </c>
      <c r="U78" s="102" t="s">
        <v>25</v>
      </c>
      <c r="V78" s="102" t="s">
        <v>25</v>
      </c>
      <c r="W78" s="103" t="s">
        <v>25</v>
      </c>
      <c r="Y78" s="46">
        <v>310584.96875000006</v>
      </c>
      <c r="Z78" s="46">
        <v>0</v>
      </c>
    </row>
    <row r="79">
      <c r="A79" s="97">
        <v>45947</v>
      </c>
      <c r="B79" s="112">
        <v>1.2890052795410156</v>
      </c>
      <c r="C79" s="113">
        <v>-1.2</v>
      </c>
      <c r="D79" s="102">
        <v>5</v>
      </c>
      <c r="E79" s="102">
        <v>57</v>
      </c>
      <c r="F79" s="102">
        <v>1870</v>
      </c>
      <c r="G79" s="102" t="s">
        <v>92</v>
      </c>
      <c r="H79" s="102">
        <v>5.8799999999999999</v>
      </c>
      <c r="I79" s="102">
        <v>5.2800000000000002</v>
      </c>
      <c r="J79" s="102">
        <v>14.630000000000001</v>
      </c>
      <c r="K79" s="102">
        <v>-1.1100000000000001</v>
      </c>
      <c r="L79" s="103" t="s">
        <v>69</v>
      </c>
      <c r="M79" s="3"/>
      <c r="N79" s="104">
        <v>1.3</v>
      </c>
      <c r="O79" s="102">
        <v>39.600000000000001</v>
      </c>
      <c r="P79" s="102">
        <v>60.799999999999997</v>
      </c>
      <c r="Q79" s="102">
        <v>10</v>
      </c>
      <c r="R79" s="105">
        <v>18</v>
      </c>
      <c r="S79" s="104" t="s">
        <v>25</v>
      </c>
      <c r="T79" s="102" t="s">
        <v>25</v>
      </c>
      <c r="U79" s="102" t="s">
        <v>25</v>
      </c>
      <c r="V79" s="102" t="s">
        <v>25</v>
      </c>
      <c r="W79" s="103" t="s">
        <v>25</v>
      </c>
      <c r="Y79" s="46">
        <v>313028.4375</v>
      </c>
      <c r="Z79" s="46">
        <v>6956.7775726318359</v>
      </c>
    </row>
    <row r="80">
      <c r="A80" s="97">
        <v>45948</v>
      </c>
      <c r="B80" s="112">
        <v>0.56323182582855225</v>
      </c>
      <c r="C80" s="113">
        <v>-1.3</v>
      </c>
      <c r="D80" s="102">
        <v>5</v>
      </c>
      <c r="E80" s="102">
        <v>31</v>
      </c>
      <c r="F80" s="102">
        <v>1900</v>
      </c>
      <c r="G80" s="102" t="s">
        <v>93</v>
      </c>
      <c r="H80" s="102">
        <v>5.8799999999999999</v>
      </c>
      <c r="I80" s="102">
        <v>5.1900000000000004</v>
      </c>
      <c r="J80" s="102">
        <v>14.199999999999999</v>
      </c>
      <c r="K80" s="102">
        <v>-1.5</v>
      </c>
      <c r="L80" s="103" t="s">
        <v>69</v>
      </c>
      <c r="M80" s="3"/>
      <c r="N80" s="104">
        <v>1.2</v>
      </c>
      <c r="O80" s="102">
        <v>39.200000000000003</v>
      </c>
      <c r="P80" s="102">
        <v>60.5</v>
      </c>
      <c r="Q80" s="102">
        <v>10</v>
      </c>
      <c r="R80" s="105">
        <v>18</v>
      </c>
      <c r="S80" s="104" t="s">
        <v>25</v>
      </c>
      <c r="T80" s="102" t="s">
        <v>25</v>
      </c>
      <c r="U80" s="102" t="s">
        <v>25</v>
      </c>
      <c r="V80" s="102" t="s">
        <v>25</v>
      </c>
      <c r="W80" s="103" t="s">
        <v>25</v>
      </c>
      <c r="Y80" s="46">
        <v>316755.9375</v>
      </c>
      <c r="Z80" s="46">
        <v>4870.7695007324219</v>
      </c>
    </row>
    <row r="81">
      <c r="A81" s="97">
        <v>45949</v>
      </c>
      <c r="B81" s="112">
        <v>-1.8929903507232666</v>
      </c>
      <c r="C81" s="113">
        <v>-1.2</v>
      </c>
      <c r="D81" s="102">
        <v>5</v>
      </c>
      <c r="E81" s="102">
        <v>16</v>
      </c>
      <c r="F81" s="102">
        <v>1900</v>
      </c>
      <c r="G81" s="102" t="s">
        <v>94</v>
      </c>
      <c r="H81" s="102">
        <v>5.8300000000000001</v>
      </c>
      <c r="I81" s="102">
        <v>5.1200000000000001</v>
      </c>
      <c r="J81" s="102">
        <v>14</v>
      </c>
      <c r="K81" s="102">
        <v>-1.3</v>
      </c>
      <c r="L81" s="103" t="s">
        <v>69</v>
      </c>
      <c r="M81" s="3"/>
      <c r="N81" s="104">
        <v>1.2</v>
      </c>
      <c r="O81" s="102">
        <v>39.399999999999999</v>
      </c>
      <c r="P81" s="102">
        <v>60.299999999999997</v>
      </c>
      <c r="Q81" s="102">
        <v>10</v>
      </c>
      <c r="R81" s="105">
        <v>18</v>
      </c>
      <c r="S81" s="104" t="s">
        <v>25</v>
      </c>
      <c r="T81" s="102" t="s">
        <v>25</v>
      </c>
      <c r="U81" s="102" t="s">
        <v>25</v>
      </c>
      <c r="V81" s="102" t="s">
        <v>25</v>
      </c>
      <c r="W81" s="103" t="s">
        <v>25</v>
      </c>
      <c r="Y81" s="46">
        <v>300819.9375</v>
      </c>
      <c r="Z81" s="46">
        <v>0</v>
      </c>
    </row>
    <row r="82">
      <c r="A82" s="97">
        <v>45950</v>
      </c>
      <c r="B82" s="112">
        <v>-2.8894519805908203</v>
      </c>
      <c r="C82" s="113">
        <v>-0.80000000000000004</v>
      </c>
      <c r="D82" s="102">
        <v>5</v>
      </c>
      <c r="E82" s="102">
        <v>18</v>
      </c>
      <c r="F82" s="102">
        <v>1900</v>
      </c>
      <c r="G82" s="102" t="s">
        <v>95</v>
      </c>
      <c r="H82" s="102">
        <v>5.8600000000000003</v>
      </c>
      <c r="I82" s="102">
        <v>5.0899999999999999</v>
      </c>
      <c r="J82" s="102">
        <v>15</v>
      </c>
      <c r="K82" s="102">
        <v>-0.90000000000000002</v>
      </c>
      <c r="L82" s="103" t="s">
        <v>69</v>
      </c>
      <c r="M82" s="3"/>
      <c r="N82" s="104">
        <v>1.2</v>
      </c>
      <c r="O82" s="102">
        <v>39.200000000000003</v>
      </c>
      <c r="P82" s="102">
        <v>60.600000000000001</v>
      </c>
      <c r="Q82" s="102">
        <v>10</v>
      </c>
      <c r="R82" s="105">
        <v>18</v>
      </c>
      <c r="S82" s="104" t="s">
        <v>25</v>
      </c>
      <c r="T82" s="102" t="s">
        <v>25</v>
      </c>
      <c r="U82" s="102" t="s">
        <v>25</v>
      </c>
      <c r="V82" s="102" t="s">
        <v>25</v>
      </c>
      <c r="W82" s="103" t="s">
        <v>25</v>
      </c>
      <c r="Y82" s="46">
        <v>298843.84375</v>
      </c>
      <c r="Z82" s="46">
        <v>5663.8741493225098</v>
      </c>
    </row>
    <row r="83">
      <c r="A83" s="97">
        <v>45951</v>
      </c>
      <c r="B83" s="112">
        <v>-2.5131585597991943</v>
      </c>
      <c r="C83" s="113">
        <v>-1</v>
      </c>
      <c r="D83" s="102">
        <v>5</v>
      </c>
      <c r="E83" s="102">
        <v>18</v>
      </c>
      <c r="F83" s="102">
        <v>1900</v>
      </c>
      <c r="G83" s="102" t="s">
        <v>96</v>
      </c>
      <c r="H83" s="102">
        <v>5.9000000000000004</v>
      </c>
      <c r="I83" s="102">
        <v>5.0899999999999999</v>
      </c>
      <c r="J83" s="102">
        <v>13.9</v>
      </c>
      <c r="K83" s="102">
        <v>-1.0700000000000001</v>
      </c>
      <c r="L83" s="103" t="s">
        <v>69</v>
      </c>
      <c r="M83" s="3"/>
      <c r="N83" s="104">
        <v>1.2</v>
      </c>
      <c r="O83" s="102">
        <v>39.299999999999997</v>
      </c>
      <c r="P83" s="102">
        <v>61</v>
      </c>
      <c r="Q83" s="102">
        <v>10</v>
      </c>
      <c r="R83" s="105">
        <v>18</v>
      </c>
      <c r="S83" s="104" t="s">
        <v>25</v>
      </c>
      <c r="T83" s="102" t="s">
        <v>25</v>
      </c>
      <c r="U83" s="102" t="s">
        <v>25</v>
      </c>
      <c r="V83" s="102" t="s">
        <v>25</v>
      </c>
      <c r="W83" s="103" t="s">
        <v>25</v>
      </c>
      <c r="Y83" s="46">
        <v>305849.21875000006</v>
      </c>
      <c r="Z83" s="46">
        <v>0</v>
      </c>
    </row>
    <row r="84">
      <c r="A84" s="97">
        <v>45952</v>
      </c>
      <c r="B84" s="112">
        <v>-4.8229923248291016</v>
      </c>
      <c r="C84" s="113">
        <v>-1.2</v>
      </c>
      <c r="D84" s="102">
        <v>5</v>
      </c>
      <c r="E84" s="102">
        <v>16</v>
      </c>
      <c r="F84" s="102">
        <v>1900</v>
      </c>
      <c r="G84" s="102" t="s">
        <v>96</v>
      </c>
      <c r="H84" s="102">
        <v>5.8399999999999999</v>
      </c>
      <c r="I84" s="102">
        <v>5.0899999999999999</v>
      </c>
      <c r="J84" s="102">
        <v>14.5</v>
      </c>
      <c r="K84" s="102">
        <v>-1.2</v>
      </c>
      <c r="L84" s="103" t="s">
        <v>69</v>
      </c>
      <c r="M84" s="3"/>
      <c r="N84" s="104">
        <v>1.2</v>
      </c>
      <c r="O84" s="102">
        <v>39.399999999999999</v>
      </c>
      <c r="P84" s="102">
        <v>61</v>
      </c>
      <c r="Q84" s="102">
        <v>10</v>
      </c>
      <c r="R84" s="105">
        <v>18</v>
      </c>
      <c r="S84" s="104" t="s">
        <v>25</v>
      </c>
      <c r="T84" s="102" t="s">
        <v>25</v>
      </c>
      <c r="U84" s="102" t="s">
        <v>25</v>
      </c>
      <c r="V84" s="102" t="s">
        <v>25</v>
      </c>
      <c r="W84" s="103" t="s">
        <v>25</v>
      </c>
      <c r="Y84" s="46">
        <v>307742.8125</v>
      </c>
      <c r="Z84" s="46">
        <v>0</v>
      </c>
    </row>
    <row r="85">
      <c r="A85" s="97">
        <v>45953</v>
      </c>
      <c r="B85" s="112">
        <v>-1.7142133712768555</v>
      </c>
      <c r="C85" s="113">
        <v>-1.7</v>
      </c>
      <c r="D85" s="102">
        <v>5</v>
      </c>
      <c r="E85" s="102">
        <v>20</v>
      </c>
      <c r="F85" s="102">
        <v>1900</v>
      </c>
      <c r="G85" s="102" t="s">
        <v>96</v>
      </c>
      <c r="H85" s="102">
        <v>5.9400000000000004</v>
      </c>
      <c r="I85" s="102">
        <v>5.0999999999999996</v>
      </c>
      <c r="J85" s="102">
        <v>14.300000000000001</v>
      </c>
      <c r="K85" s="102">
        <v>-1.7</v>
      </c>
      <c r="L85" s="103" t="s">
        <v>69</v>
      </c>
      <c r="M85" s="3"/>
      <c r="N85" s="104">
        <v>1.2</v>
      </c>
      <c r="O85" s="102">
        <v>39</v>
      </c>
      <c r="P85" s="102">
        <v>61.100000000000001</v>
      </c>
      <c r="Q85" s="102">
        <v>10</v>
      </c>
      <c r="R85" s="105">
        <v>18</v>
      </c>
      <c r="S85" s="104" t="s">
        <v>25</v>
      </c>
      <c r="T85" s="102" t="s">
        <v>25</v>
      </c>
      <c r="U85" s="102" t="s">
        <v>25</v>
      </c>
      <c r="V85" s="102" t="s">
        <v>25</v>
      </c>
      <c r="W85" s="103" t="s">
        <v>25</v>
      </c>
      <c r="Y85" s="46">
        <v>307264.5625</v>
      </c>
      <c r="Z85" s="46">
        <v>0</v>
      </c>
    </row>
    <row r="86">
      <c r="A86" s="97">
        <v>45954</v>
      </c>
      <c r="B86" s="112">
        <v>-0.019025204703211784</v>
      </c>
      <c r="C86" s="113">
        <v>-0.80000000000000004</v>
      </c>
      <c r="D86" s="102">
        <v>5</v>
      </c>
      <c r="E86" s="102">
        <v>22</v>
      </c>
      <c r="F86" s="102">
        <v>1900</v>
      </c>
      <c r="G86" s="102" t="s">
        <v>96</v>
      </c>
      <c r="H86" s="102">
        <v>5.96</v>
      </c>
      <c r="I86" s="102">
        <v>5.1399999999999997</v>
      </c>
      <c r="J86" s="102">
        <v>14.5</v>
      </c>
      <c r="K86" s="102">
        <v>-0.29999999999999999</v>
      </c>
      <c r="L86" s="103" t="s">
        <v>69</v>
      </c>
      <c r="M86" s="3"/>
      <c r="N86" s="104">
        <v>1.2</v>
      </c>
      <c r="O86" s="102">
        <v>39.299999999999997</v>
      </c>
      <c r="P86" s="102">
        <v>61.299999999999997</v>
      </c>
      <c r="Q86" s="102">
        <v>10</v>
      </c>
      <c r="R86" s="105">
        <v>18</v>
      </c>
      <c r="S86" s="104" t="s">
        <v>25</v>
      </c>
      <c r="T86" s="102" t="s">
        <v>25</v>
      </c>
      <c r="U86" s="102" t="s">
        <v>25</v>
      </c>
      <c r="V86" s="102" t="s">
        <v>25</v>
      </c>
      <c r="W86" s="103" t="s">
        <v>25</v>
      </c>
      <c r="Y86" s="46">
        <v>309680.625</v>
      </c>
      <c r="Z86" s="46">
        <v>0</v>
      </c>
    </row>
    <row r="87">
      <c r="A87" s="97">
        <v>45955</v>
      </c>
      <c r="B87" s="112">
        <v>-1.0039057731628418</v>
      </c>
      <c r="C87" s="113">
        <v>-1</v>
      </c>
      <c r="D87" s="102">
        <v>5</v>
      </c>
      <c r="E87" s="102">
        <v>19</v>
      </c>
      <c r="F87" s="102">
        <v>1800</v>
      </c>
      <c r="G87" s="102" t="s">
        <v>90</v>
      </c>
      <c r="H87" s="102">
        <v>5.9500000000000002</v>
      </c>
      <c r="I87" s="102">
        <v>5.1299999999999999</v>
      </c>
      <c r="J87" s="102">
        <v>15.1</v>
      </c>
      <c r="K87" s="102">
        <v>-1.1000000000000001</v>
      </c>
      <c r="L87" s="103" t="s">
        <v>69</v>
      </c>
      <c r="M87" s="3"/>
      <c r="N87" s="104">
        <v>1.2</v>
      </c>
      <c r="O87" s="102">
        <v>39.799999999999997</v>
      </c>
      <c r="P87" s="102">
        <v>61.100000000000001</v>
      </c>
      <c r="Q87" s="102">
        <v>10</v>
      </c>
      <c r="R87" s="105">
        <v>18</v>
      </c>
      <c r="S87" s="104" t="s">
        <v>25</v>
      </c>
      <c r="T87" s="102" t="s">
        <v>25</v>
      </c>
      <c r="U87" s="102" t="s">
        <v>25</v>
      </c>
      <c r="V87" s="102" t="s">
        <v>25</v>
      </c>
      <c r="W87" s="103" t="s">
        <v>25</v>
      </c>
      <c r="Y87" s="46">
        <v>291346.9375</v>
      </c>
      <c r="Z87" s="46">
        <v>0</v>
      </c>
    </row>
    <row r="88">
      <c r="A88" s="97">
        <v>45956</v>
      </c>
      <c r="B88" s="112">
        <v>-0.48617157340049744</v>
      </c>
      <c r="C88" s="113">
        <v>-1</v>
      </c>
      <c r="D88" s="102">
        <v>5</v>
      </c>
      <c r="E88" s="102">
        <v>20</v>
      </c>
      <c r="F88" s="102">
        <v>1800</v>
      </c>
      <c r="G88" s="102" t="s">
        <v>90</v>
      </c>
      <c r="H88" s="102">
        <v>5.9800000000000004</v>
      </c>
      <c r="I88" s="102">
        <v>5.1600000000000001</v>
      </c>
      <c r="J88" s="102">
        <v>14.9</v>
      </c>
      <c r="K88" s="102">
        <v>-1</v>
      </c>
      <c r="L88" s="103" t="s">
        <v>69</v>
      </c>
      <c r="M88" s="3"/>
      <c r="N88" s="104">
        <v>1.2</v>
      </c>
      <c r="O88" s="102">
        <v>39.899999999999999</v>
      </c>
      <c r="P88" s="102">
        <v>62.200000000000003</v>
      </c>
      <c r="Q88" s="102">
        <v>10</v>
      </c>
      <c r="R88" s="105">
        <v>18</v>
      </c>
      <c r="S88" s="104" t="s">
        <v>25</v>
      </c>
      <c r="T88" s="102" t="s">
        <v>25</v>
      </c>
      <c r="U88" s="102" t="s">
        <v>25</v>
      </c>
      <c r="V88" s="102" t="s">
        <v>25</v>
      </c>
      <c r="W88" s="103" t="s">
        <v>25</v>
      </c>
      <c r="Y88" s="46">
        <v>295516.75</v>
      </c>
      <c r="Z88" s="46">
        <v>0</v>
      </c>
    </row>
    <row r="89">
      <c r="A89" s="97">
        <v>45957</v>
      </c>
      <c r="B89" s="112">
        <v>-0.91145384311676025</v>
      </c>
      <c r="C89" s="113">
        <v>-0.69999999999999996</v>
      </c>
      <c r="D89" s="102">
        <v>4</v>
      </c>
      <c r="E89" s="102">
        <v>22</v>
      </c>
      <c r="F89" s="102">
        <v>1800</v>
      </c>
      <c r="G89" s="102" t="s">
        <v>97</v>
      </c>
      <c r="H89" s="102">
        <v>6.0800000000000001</v>
      </c>
      <c r="I89" s="102">
        <v>5.2000000000000002</v>
      </c>
      <c r="J89" s="102">
        <v>14.699999999999999</v>
      </c>
      <c r="K89" s="102">
        <v>-0.69999999999999996</v>
      </c>
      <c r="L89" s="103" t="s">
        <v>98</v>
      </c>
      <c r="M89" s="3"/>
      <c r="N89" s="104">
        <v>1.2</v>
      </c>
      <c r="O89" s="102">
        <v>39.899999999999999</v>
      </c>
      <c r="P89" s="102">
        <v>62.200000000000003</v>
      </c>
      <c r="Q89" s="102">
        <v>10</v>
      </c>
      <c r="R89" s="105">
        <v>18</v>
      </c>
      <c r="S89" s="104" t="s">
        <v>25</v>
      </c>
      <c r="T89" s="102" t="s">
        <v>25</v>
      </c>
      <c r="U89" s="102" t="s">
        <v>25</v>
      </c>
      <c r="V89" s="102" t="s">
        <v>25</v>
      </c>
      <c r="W89" s="103" t="s">
        <v>25</v>
      </c>
      <c r="Y89" s="46">
        <v>302703.4375</v>
      </c>
      <c r="Z89" s="46">
        <v>0</v>
      </c>
    </row>
    <row r="90">
      <c r="A90" s="97">
        <v>45958</v>
      </c>
      <c r="B90" s="112">
        <v>-1.055112361907959</v>
      </c>
      <c r="C90" s="113">
        <v>-1.2</v>
      </c>
      <c r="D90" s="102">
        <v>4</v>
      </c>
      <c r="E90" s="102">
        <v>22</v>
      </c>
      <c r="F90" s="102">
        <v>1800</v>
      </c>
      <c r="G90" s="102" t="s">
        <v>99</v>
      </c>
      <c r="H90" s="102">
        <v>6.0599999999999996</v>
      </c>
      <c r="I90" s="102">
        <v>5.1799999999999997</v>
      </c>
      <c r="J90" s="102">
        <v>14.199999999999999</v>
      </c>
      <c r="K90" s="102">
        <v>-1.2</v>
      </c>
      <c r="L90" s="103" t="s">
        <v>98</v>
      </c>
      <c r="M90" s="3"/>
      <c r="N90" s="104">
        <v>1.2</v>
      </c>
      <c r="O90" s="102">
        <v>41.399999999999999</v>
      </c>
      <c r="P90" s="102">
        <v>60.299999999999997</v>
      </c>
      <c r="Q90" s="102">
        <v>10</v>
      </c>
      <c r="R90" s="105">
        <v>17</v>
      </c>
      <c r="S90" s="104" t="s">
        <v>25</v>
      </c>
      <c r="T90" s="102" t="s">
        <v>25</v>
      </c>
      <c r="U90" s="102" t="s">
        <v>25</v>
      </c>
      <c r="V90" s="102" t="s">
        <v>25</v>
      </c>
      <c r="W90" s="103" t="s">
        <v>25</v>
      </c>
      <c r="Y90" s="46">
        <v>300447.0625</v>
      </c>
      <c r="Z90" s="46">
        <v>0</v>
      </c>
    </row>
    <row r="91">
      <c r="A91" s="97">
        <v>45959</v>
      </c>
      <c r="B91" s="112">
        <v>-8.751927375793457</v>
      </c>
      <c r="C91" s="113">
        <v>-1</v>
      </c>
      <c r="D91" s="102">
        <v>4</v>
      </c>
      <c r="E91" s="102">
        <v>12</v>
      </c>
      <c r="F91" s="102">
        <v>1550</v>
      </c>
      <c r="G91" s="114" t="s">
        <v>100</v>
      </c>
      <c r="H91" s="102">
        <v>5.7999999999999998</v>
      </c>
      <c r="I91" s="102">
        <v>5.0199999999999996</v>
      </c>
      <c r="J91" s="102">
        <v>13.4</v>
      </c>
      <c r="K91" s="102">
        <v>-1.2</v>
      </c>
      <c r="L91" s="103" t="s">
        <v>98</v>
      </c>
      <c r="M91" s="3"/>
      <c r="N91" s="104">
        <v>1.3</v>
      </c>
      <c r="O91" s="102">
        <v>41.899999999999999</v>
      </c>
      <c r="P91" s="102">
        <v>52</v>
      </c>
      <c r="Q91" s="102">
        <v>9</v>
      </c>
      <c r="R91" s="105">
        <v>18</v>
      </c>
      <c r="S91" s="104" t="s">
        <v>25</v>
      </c>
      <c r="T91" s="102" t="s">
        <v>25</v>
      </c>
      <c r="U91" s="102" t="s">
        <v>25</v>
      </c>
      <c r="V91" s="102" t="s">
        <v>25</v>
      </c>
      <c r="W91" s="103" t="s">
        <v>25</v>
      </c>
      <c r="Y91" s="46">
        <v>242238.9375</v>
      </c>
      <c r="Z91" s="46">
        <v>0</v>
      </c>
    </row>
    <row r="92">
      <c r="A92" s="97">
        <v>45960</v>
      </c>
      <c r="B92" s="112">
        <v>-17.551858901977539</v>
      </c>
      <c r="C92" s="113">
        <v>-1.5</v>
      </c>
      <c r="D92" s="102">
        <v>0</v>
      </c>
      <c r="E92" s="102">
        <v>15</v>
      </c>
      <c r="F92" s="102">
        <v>1550</v>
      </c>
      <c r="G92" s="114" t="s">
        <v>25</v>
      </c>
      <c r="H92" s="102">
        <v>4.96</v>
      </c>
      <c r="I92" s="102">
        <v>4.9500000000000002</v>
      </c>
      <c r="J92" s="102">
        <v>12.300000000000001</v>
      </c>
      <c r="K92" s="102">
        <v>-1.6000000000000001</v>
      </c>
      <c r="L92" s="44" t="s">
        <v>26</v>
      </c>
      <c r="M92" s="3"/>
      <c r="N92" s="104">
        <v>1</v>
      </c>
      <c r="O92" s="102">
        <v>41.799999999999997</v>
      </c>
      <c r="P92" s="102">
        <v>51.5</v>
      </c>
      <c r="Q92" s="102">
        <v>9</v>
      </c>
      <c r="R92" s="105">
        <v>18</v>
      </c>
      <c r="S92" s="104" t="s">
        <v>25</v>
      </c>
      <c r="T92" s="102" t="s">
        <v>25</v>
      </c>
      <c r="U92" s="102" t="s">
        <v>25</v>
      </c>
      <c r="V92" s="102" t="s">
        <v>25</v>
      </c>
      <c r="W92" s="103" t="s">
        <v>25</v>
      </c>
      <c r="Y92" s="46">
        <v>149420.796875</v>
      </c>
      <c r="Z92" s="46">
        <v>8022.4933624267578</v>
      </c>
    </row>
    <row r="93" ht="15">
      <c r="A93" s="115">
        <v>45961</v>
      </c>
      <c r="B93" s="116">
        <v>-11.17005729675293</v>
      </c>
      <c r="C93" s="117">
        <v>-1</v>
      </c>
      <c r="D93" s="110">
        <v>0</v>
      </c>
      <c r="E93" s="110">
        <v>19</v>
      </c>
      <c r="F93" s="110">
        <v>1550</v>
      </c>
      <c r="G93" s="118" t="s">
        <v>25</v>
      </c>
      <c r="H93" s="110">
        <v>4.9500000000000002</v>
      </c>
      <c r="I93" s="110">
        <v>4.9500000000000002</v>
      </c>
      <c r="J93" s="110">
        <v>12.800000000000001</v>
      </c>
      <c r="K93" s="110">
        <v>-1</v>
      </c>
      <c r="L93" s="111" t="s">
        <v>26</v>
      </c>
      <c r="M93" s="3"/>
      <c r="N93" s="119">
        <v>1</v>
      </c>
      <c r="O93" s="110">
        <v>41.899999999999999</v>
      </c>
      <c r="P93" s="110">
        <v>51.399999999999999</v>
      </c>
      <c r="Q93" s="110">
        <v>8</v>
      </c>
      <c r="R93" s="120">
        <v>19</v>
      </c>
      <c r="S93" s="121" t="s">
        <v>25</v>
      </c>
      <c r="T93" s="122" t="s">
        <v>25</v>
      </c>
      <c r="U93" s="122" t="s">
        <v>25</v>
      </c>
      <c r="V93" s="122" t="s">
        <v>25</v>
      </c>
      <c r="W93" s="123" t="s">
        <v>25</v>
      </c>
      <c r="Y93" s="63">
        <v>143074.390625</v>
      </c>
      <c r="Z93" s="63">
        <v>2094.7625637054443</v>
      </c>
    </row>
    <row r="94">
      <c r="A94" s="124">
        <v>45962</v>
      </c>
      <c r="B94" s="125">
        <v>-13.502880096435547</v>
      </c>
      <c r="C94" s="126">
        <v>-0.59999999999999998</v>
      </c>
      <c r="D94" s="93">
        <v>0</v>
      </c>
      <c r="E94" s="93">
        <v>20</v>
      </c>
      <c r="F94" s="93">
        <v>1550</v>
      </c>
      <c r="G94" s="127" t="s">
        <v>25</v>
      </c>
      <c r="H94" s="93">
        <v>4.8899999999999997</v>
      </c>
      <c r="I94" s="93">
        <v>4.8899999999999997</v>
      </c>
      <c r="J94" s="93">
        <v>11.199999999999999</v>
      </c>
      <c r="K94" s="93">
        <v>-0.80000000000000004</v>
      </c>
      <c r="L94" s="94" t="s">
        <v>26</v>
      </c>
      <c r="M94" s="3"/>
      <c r="N94" s="95">
        <v>1</v>
      </c>
      <c r="O94" s="93">
        <v>41.899999999999999</v>
      </c>
      <c r="P94" s="93">
        <v>50.799999999999997</v>
      </c>
      <c r="Q94" s="93">
        <v>8</v>
      </c>
      <c r="R94" s="94">
        <v>17</v>
      </c>
      <c r="S94" s="95" t="s">
        <v>25</v>
      </c>
      <c r="T94" s="93" t="s">
        <v>25</v>
      </c>
      <c r="U94" s="93" t="s">
        <v>25</v>
      </c>
      <c r="V94" s="93" t="s">
        <v>25</v>
      </c>
      <c r="W94" s="94" t="s">
        <v>25</v>
      </c>
      <c r="Y94" s="33">
        <v>143091.328125</v>
      </c>
      <c r="Z94" s="33">
        <v>0</v>
      </c>
    </row>
    <row r="95">
      <c r="A95" s="124">
        <v>45963</v>
      </c>
      <c r="B95" s="128">
        <v>-12.474761009216309</v>
      </c>
      <c r="C95" s="113">
        <v>-0.59999999999999998</v>
      </c>
      <c r="D95" s="102">
        <v>0</v>
      </c>
      <c r="E95" s="102">
        <v>7</v>
      </c>
      <c r="F95" s="102">
        <v>1210</v>
      </c>
      <c r="G95" s="114" t="s">
        <v>25</v>
      </c>
      <c r="H95" s="102">
        <v>4.8200000000000003</v>
      </c>
      <c r="I95" s="102">
        <v>4.8099999999999996</v>
      </c>
      <c r="J95" s="102">
        <v>5.7999999999999998</v>
      </c>
      <c r="K95" s="102">
        <v>-0.80000000000000004</v>
      </c>
      <c r="L95" s="103" t="s">
        <v>26</v>
      </c>
      <c r="M95" s="3"/>
      <c r="N95" s="104">
        <v>2</v>
      </c>
      <c r="O95" s="102">
        <v>43.200000000000003</v>
      </c>
      <c r="P95" s="102">
        <v>53.100000000000001</v>
      </c>
      <c r="Q95" s="102">
        <v>7</v>
      </c>
      <c r="R95" s="103">
        <v>19</v>
      </c>
      <c r="S95" s="104" t="s">
        <v>25</v>
      </c>
      <c r="T95" s="102" t="s">
        <v>25</v>
      </c>
      <c r="U95" s="102" t="s">
        <v>25</v>
      </c>
      <c r="V95" s="102" t="s">
        <v>25</v>
      </c>
      <c r="W95" s="103" t="s">
        <v>25</v>
      </c>
      <c r="Y95" s="46">
        <v>113925.671875</v>
      </c>
      <c r="Z95" s="46">
        <v>0</v>
      </c>
    </row>
    <row r="96">
      <c r="A96" s="124">
        <v>45964</v>
      </c>
      <c r="B96" s="129">
        <v>-7.3608779907226562</v>
      </c>
      <c r="C96" s="113">
        <v>-1</v>
      </c>
      <c r="D96" s="102">
        <v>0</v>
      </c>
      <c r="E96" s="102">
        <v>28</v>
      </c>
      <c r="F96" s="102">
        <v>1210</v>
      </c>
      <c r="G96" s="114" t="s">
        <v>25</v>
      </c>
      <c r="H96" s="102">
        <v>4.7999999999999998</v>
      </c>
      <c r="I96" s="102">
        <v>4.79</v>
      </c>
      <c r="J96" s="102">
        <v>10.5</v>
      </c>
      <c r="K96" s="102">
        <v>-1</v>
      </c>
      <c r="L96" s="103" t="s">
        <v>26</v>
      </c>
      <c r="M96" s="3"/>
      <c r="N96" s="104">
        <v>2</v>
      </c>
      <c r="O96" s="102">
        <v>43.200000000000003</v>
      </c>
      <c r="P96" s="102">
        <v>52.899999999999999</v>
      </c>
      <c r="Q96" s="102">
        <v>7</v>
      </c>
      <c r="R96" s="103">
        <v>18</v>
      </c>
      <c r="S96" s="104" t="s">
        <v>25</v>
      </c>
      <c r="T96" s="102" t="s">
        <v>25</v>
      </c>
      <c r="U96" s="102" t="s">
        <v>25</v>
      </c>
      <c r="V96" s="102" t="s">
        <v>25</v>
      </c>
      <c r="W96" s="103" t="s">
        <v>25</v>
      </c>
      <c r="Y96" s="46">
        <v>111051.71875</v>
      </c>
      <c r="Z96" s="46">
        <v>0</v>
      </c>
    </row>
    <row r="97">
      <c r="A97" s="124">
        <v>45965</v>
      </c>
      <c r="B97" s="129">
        <v>-12.238926887512207</v>
      </c>
      <c r="C97" s="113">
        <v>-0.69999999999999996</v>
      </c>
      <c r="D97" s="102">
        <v>0</v>
      </c>
      <c r="E97" s="102">
        <v>15</v>
      </c>
      <c r="F97" s="102">
        <v>1250</v>
      </c>
      <c r="G97" s="114" t="s">
        <v>25</v>
      </c>
      <c r="H97" s="102">
        <v>4.8099999999999996</v>
      </c>
      <c r="I97" s="102">
        <v>4.8099999999999996</v>
      </c>
      <c r="J97" s="102">
        <v>8.5</v>
      </c>
      <c r="K97" s="102">
        <v>-0.90000000000000002</v>
      </c>
      <c r="L97" s="103" t="s">
        <v>26</v>
      </c>
      <c r="M97" s="3"/>
      <c r="N97" s="104">
        <v>2</v>
      </c>
      <c r="O97" s="102">
        <v>43.399999999999999</v>
      </c>
      <c r="P97" s="102">
        <v>52.100000000000001</v>
      </c>
      <c r="Q97" s="102">
        <v>7</v>
      </c>
      <c r="R97" s="103">
        <v>18</v>
      </c>
      <c r="S97" s="104" t="s">
        <v>25</v>
      </c>
      <c r="T97" s="102" t="s">
        <v>25</v>
      </c>
      <c r="U97" s="102" t="s">
        <v>25</v>
      </c>
      <c r="V97" s="102" t="s">
        <v>25</v>
      </c>
      <c r="W97" s="103" t="s">
        <v>25</v>
      </c>
      <c r="Y97" s="46">
        <v>113820.2734375</v>
      </c>
      <c r="Z97" s="46">
        <v>0</v>
      </c>
    </row>
    <row r="98">
      <c r="A98" s="124">
        <v>45966</v>
      </c>
      <c r="B98" s="129">
        <v>-7.057492733001709</v>
      </c>
      <c r="C98" s="113">
        <v>-1.3999999999999999</v>
      </c>
      <c r="D98" s="102">
        <v>0</v>
      </c>
      <c r="E98" s="102">
        <v>31</v>
      </c>
      <c r="F98" s="102">
        <v>1250</v>
      </c>
      <c r="G98" s="114" t="s">
        <v>25</v>
      </c>
      <c r="H98" s="102">
        <v>4.8099999999999996</v>
      </c>
      <c r="I98" s="102">
        <v>4.8099999999999996</v>
      </c>
      <c r="J98" s="102">
        <v>8.0999999999999996</v>
      </c>
      <c r="K98" s="102">
        <v>-1.6000000000000001</v>
      </c>
      <c r="L98" s="103" t="s">
        <v>26</v>
      </c>
      <c r="M98" s="3"/>
      <c r="N98" s="104">
        <v>2</v>
      </c>
      <c r="O98" s="102">
        <v>43.399999999999999</v>
      </c>
      <c r="P98" s="102">
        <v>52.200000000000003</v>
      </c>
      <c r="Q98" s="102">
        <v>7</v>
      </c>
      <c r="R98" s="103">
        <v>19</v>
      </c>
      <c r="S98" s="104" t="s">
        <v>25</v>
      </c>
      <c r="T98" s="102" t="s">
        <v>25</v>
      </c>
      <c r="U98" s="102" t="s">
        <v>25</v>
      </c>
      <c r="V98" s="102" t="s">
        <v>25</v>
      </c>
      <c r="W98" s="103" t="s">
        <v>25</v>
      </c>
      <c r="Y98" s="46">
        <v>109758.1875</v>
      </c>
      <c r="Z98" s="46">
        <v>0</v>
      </c>
    </row>
    <row r="99">
      <c r="A99" s="124">
        <v>45967</v>
      </c>
      <c r="B99" s="129">
        <v>-10.701353073120117</v>
      </c>
      <c r="C99" s="113">
        <v>-1.1000000000000001</v>
      </c>
      <c r="D99" s="102">
        <v>0</v>
      </c>
      <c r="E99" s="102">
        <v>18</v>
      </c>
      <c r="F99" s="102">
        <v>1250</v>
      </c>
      <c r="G99" s="114" t="s">
        <v>25</v>
      </c>
      <c r="H99" s="102">
        <v>4.8399999999999999</v>
      </c>
      <c r="I99" s="102">
        <v>4.8399999999999999</v>
      </c>
      <c r="J99" s="102">
        <v>9.5</v>
      </c>
      <c r="K99" s="102">
        <v>-1.2</v>
      </c>
      <c r="L99" s="103" t="s">
        <v>26</v>
      </c>
      <c r="M99" s="3"/>
      <c r="N99" s="104">
        <v>2</v>
      </c>
      <c r="O99" s="102">
        <v>43.399999999999999</v>
      </c>
      <c r="P99" s="102">
        <v>52.5</v>
      </c>
      <c r="Q99" s="102">
        <v>7</v>
      </c>
      <c r="R99" s="103">
        <v>18</v>
      </c>
      <c r="S99" s="104" t="s">
        <v>25</v>
      </c>
      <c r="T99" s="102" t="s">
        <v>25</v>
      </c>
      <c r="U99" s="102" t="s">
        <v>25</v>
      </c>
      <c r="V99" s="102" t="s">
        <v>25</v>
      </c>
      <c r="W99" s="103" t="s">
        <v>25</v>
      </c>
      <c r="Y99" s="46">
        <v>113699.25</v>
      </c>
      <c r="Z99" s="46">
        <v>0</v>
      </c>
    </row>
    <row r="100">
      <c r="A100" s="124">
        <v>45968</v>
      </c>
      <c r="B100" s="129">
        <v>-12.276847839355469</v>
      </c>
      <c r="C100" s="113">
        <v>-0.40000000000000002</v>
      </c>
      <c r="D100" s="102">
        <v>0</v>
      </c>
      <c r="E100" s="102">
        <v>15</v>
      </c>
      <c r="F100" s="102">
        <v>1250</v>
      </c>
      <c r="G100" s="114" t="s">
        <v>25</v>
      </c>
      <c r="H100" s="102">
        <v>4.8499999999999996</v>
      </c>
      <c r="I100" s="102">
        <v>4.8499999999999996</v>
      </c>
      <c r="J100" s="102">
        <v>10.800000000000001</v>
      </c>
      <c r="K100" s="102">
        <v>-0.5</v>
      </c>
      <c r="L100" s="103" t="s">
        <v>26</v>
      </c>
      <c r="M100" s="3"/>
      <c r="N100" s="104">
        <v>3</v>
      </c>
      <c r="O100" s="102">
        <v>43.399999999999999</v>
      </c>
      <c r="P100" s="102">
        <v>52.700000000000003</v>
      </c>
      <c r="Q100" s="102">
        <v>7</v>
      </c>
      <c r="R100" s="103">
        <v>19</v>
      </c>
      <c r="S100" s="104" t="s">
        <v>25</v>
      </c>
      <c r="T100" s="102" t="s">
        <v>25</v>
      </c>
      <c r="U100" s="102" t="s">
        <v>25</v>
      </c>
      <c r="V100" s="102" t="s">
        <v>25</v>
      </c>
      <c r="W100" s="103" t="s">
        <v>25</v>
      </c>
      <c r="Y100" s="46">
        <v>120851.171875</v>
      </c>
      <c r="Z100" s="46">
        <v>0</v>
      </c>
    </row>
    <row r="101">
      <c r="A101" s="124">
        <v>45969</v>
      </c>
      <c r="B101" s="129">
        <v>-24.986839294433594</v>
      </c>
      <c r="C101" s="113">
        <v>-1.7</v>
      </c>
      <c r="D101" s="102">
        <v>0</v>
      </c>
      <c r="E101" s="102">
        <v>5</v>
      </c>
      <c r="F101" s="102">
        <v>1250</v>
      </c>
      <c r="G101" s="114" t="s">
        <v>25</v>
      </c>
      <c r="H101" s="102">
        <v>4.9400000000000004</v>
      </c>
      <c r="I101" s="102">
        <v>4.9400000000000004</v>
      </c>
      <c r="J101" s="102">
        <v>4.7999999999999998</v>
      </c>
      <c r="K101" s="102">
        <v>-1.7</v>
      </c>
      <c r="L101" s="103" t="s">
        <v>26</v>
      </c>
      <c r="M101" s="3"/>
      <c r="N101" s="104">
        <v>3</v>
      </c>
      <c r="O101" s="102">
        <v>43.399999999999999</v>
      </c>
      <c r="P101" s="102">
        <v>55.899999999999999</v>
      </c>
      <c r="Q101" s="102">
        <v>7</v>
      </c>
      <c r="R101" s="103">
        <v>19</v>
      </c>
      <c r="S101" s="104" t="s">
        <v>25</v>
      </c>
      <c r="T101" s="102" t="s">
        <v>25</v>
      </c>
      <c r="U101" s="102" t="s">
        <v>25</v>
      </c>
      <c r="V101" s="102" t="s">
        <v>25</v>
      </c>
      <c r="W101" s="103" t="s">
        <v>25</v>
      </c>
      <c r="Y101" s="46">
        <v>122686.234375</v>
      </c>
      <c r="Z101" s="46">
        <v>0</v>
      </c>
    </row>
    <row r="102">
      <c r="A102" s="124">
        <v>45970</v>
      </c>
      <c r="B102" s="129">
        <v>-19.410629272460938</v>
      </c>
      <c r="C102" s="113">
        <v>-0.90000000000000002</v>
      </c>
      <c r="D102" s="102">
        <v>0</v>
      </c>
      <c r="E102" s="102">
        <v>8</v>
      </c>
      <c r="F102" s="102">
        <v>1280</v>
      </c>
      <c r="G102" s="114" t="s">
        <v>25</v>
      </c>
      <c r="H102" s="102">
        <v>4.9199999999999999</v>
      </c>
      <c r="I102" s="102">
        <v>4.9100000000000001</v>
      </c>
      <c r="J102" s="102">
        <v>12.199999999999999</v>
      </c>
      <c r="K102" s="102">
        <v>-0.90000000000000002</v>
      </c>
      <c r="L102" s="103" t="s">
        <v>26</v>
      </c>
      <c r="M102" s="3"/>
      <c r="N102" s="104">
        <v>3</v>
      </c>
      <c r="O102" s="102">
        <v>43.100000000000001</v>
      </c>
      <c r="P102" s="102">
        <v>51.299999999999997</v>
      </c>
      <c r="Q102" s="102">
        <v>7</v>
      </c>
      <c r="R102" s="103">
        <v>20</v>
      </c>
      <c r="S102" s="104" t="s">
        <v>25</v>
      </c>
      <c r="T102" s="102" t="s">
        <v>25</v>
      </c>
      <c r="U102" s="102" t="s">
        <v>25</v>
      </c>
      <c r="V102" s="102" t="s">
        <v>25</v>
      </c>
      <c r="W102" s="103" t="s">
        <v>25</v>
      </c>
      <c r="Y102" s="46">
        <v>121970.28125</v>
      </c>
      <c r="Z102" s="46">
        <v>0</v>
      </c>
    </row>
    <row r="103">
      <c r="A103" s="124">
        <v>45971</v>
      </c>
      <c r="B103" s="129">
        <v>-20.96611213684082</v>
      </c>
      <c r="C103" s="113">
        <v>-0.80000000000000004</v>
      </c>
      <c r="D103" s="102">
        <v>0</v>
      </c>
      <c r="E103" s="102">
        <v>13</v>
      </c>
      <c r="F103" s="102">
        <v>1300</v>
      </c>
      <c r="G103" s="114" t="s">
        <v>25</v>
      </c>
      <c r="H103" s="102">
        <v>4.9100000000000001</v>
      </c>
      <c r="I103" s="102">
        <v>4.8700000000000001</v>
      </c>
      <c r="J103" s="102">
        <v>14.4</v>
      </c>
      <c r="K103" s="102">
        <v>-0.80000000000000004</v>
      </c>
      <c r="L103" s="103" t="s">
        <v>26</v>
      </c>
      <c r="M103" s="3"/>
      <c r="N103" s="104">
        <v>3</v>
      </c>
      <c r="O103" s="102">
        <v>43</v>
      </c>
      <c r="P103" s="102">
        <v>51.299999999999997</v>
      </c>
      <c r="Q103" s="102">
        <v>7</v>
      </c>
      <c r="R103" s="103">
        <v>19</v>
      </c>
      <c r="S103" s="104" t="s">
        <v>25</v>
      </c>
      <c r="T103" s="102" t="s">
        <v>25</v>
      </c>
      <c r="U103" s="102" t="s">
        <v>25</v>
      </c>
      <c r="V103" s="102" t="s">
        <v>25</v>
      </c>
      <c r="W103" s="103" t="s">
        <v>25</v>
      </c>
      <c r="Y103" s="46">
        <v>112878.8671875</v>
      </c>
      <c r="Z103" s="46">
        <v>0</v>
      </c>
    </row>
    <row r="104">
      <c r="A104" s="124">
        <v>45972</v>
      </c>
      <c r="B104" s="129">
        <v>-22.374813079833984</v>
      </c>
      <c r="C104" s="113">
        <v>-0.5</v>
      </c>
      <c r="D104" s="102">
        <v>0</v>
      </c>
      <c r="E104" s="102">
        <v>11</v>
      </c>
      <c r="F104" s="102">
        <v>1300</v>
      </c>
      <c r="G104" s="114" t="s">
        <v>25</v>
      </c>
      <c r="H104" s="102">
        <v>4.9100000000000001</v>
      </c>
      <c r="I104" s="102">
        <v>4.8700000000000001</v>
      </c>
      <c r="J104" s="102">
        <v>14.199999999999999</v>
      </c>
      <c r="K104" s="102">
        <v>-0.80000000000000004</v>
      </c>
      <c r="L104" s="103" t="s">
        <v>26</v>
      </c>
      <c r="M104" s="3"/>
      <c r="N104" s="104">
        <v>1</v>
      </c>
      <c r="O104" s="102">
        <v>43.100000000000001</v>
      </c>
      <c r="P104" s="102">
        <v>51.200000000000003</v>
      </c>
      <c r="Q104" s="102">
        <v>7</v>
      </c>
      <c r="R104" s="103">
        <v>21</v>
      </c>
      <c r="S104" s="104" t="s">
        <v>25</v>
      </c>
      <c r="T104" s="102" t="s">
        <v>25</v>
      </c>
      <c r="U104" s="102" t="s">
        <v>25</v>
      </c>
      <c r="V104" s="102" t="s">
        <v>25</v>
      </c>
      <c r="W104" s="103" t="s">
        <v>25</v>
      </c>
      <c r="Y104" s="46">
        <v>112361.34375</v>
      </c>
      <c r="Z104" s="46">
        <v>0</v>
      </c>
    </row>
    <row r="105">
      <c r="A105" s="124">
        <v>45973</v>
      </c>
      <c r="B105" s="129">
        <v>-26.232387542724609</v>
      </c>
      <c r="C105" s="113">
        <v>-0.80000000000000004</v>
      </c>
      <c r="D105" s="102">
        <v>0</v>
      </c>
      <c r="E105" s="102">
        <v>9</v>
      </c>
      <c r="F105" s="102">
        <v>1300</v>
      </c>
      <c r="G105" s="114" t="s">
        <v>25</v>
      </c>
      <c r="H105" s="102">
        <v>4.9000000000000004</v>
      </c>
      <c r="I105" s="102">
        <v>4.8499999999999996</v>
      </c>
      <c r="J105" s="102">
        <v>13.5</v>
      </c>
      <c r="K105" s="102">
        <v>-1.1000000000000001</v>
      </c>
      <c r="L105" s="103" t="s">
        <v>26</v>
      </c>
      <c r="M105" s="3"/>
      <c r="N105" s="104">
        <v>1</v>
      </c>
      <c r="O105" s="102">
        <v>43.100000000000001</v>
      </c>
      <c r="P105" s="102">
        <v>51.100000000000001</v>
      </c>
      <c r="Q105" s="102">
        <v>7</v>
      </c>
      <c r="R105" s="103">
        <v>20</v>
      </c>
      <c r="S105" s="104" t="s">
        <v>25</v>
      </c>
      <c r="T105" s="102" t="s">
        <v>25</v>
      </c>
      <c r="U105" s="102" t="s">
        <v>25</v>
      </c>
      <c r="V105" s="102" t="s">
        <v>25</v>
      </c>
      <c r="W105" s="103" t="s">
        <v>25</v>
      </c>
      <c r="Y105" s="46">
        <v>119449.8125</v>
      </c>
      <c r="Z105" s="46">
        <v>0</v>
      </c>
    </row>
    <row r="106">
      <c r="A106" s="124">
        <v>45974</v>
      </c>
      <c r="B106" s="129">
        <v>-28.430595397949219</v>
      </c>
      <c r="C106" s="113">
        <v>-0.59999999999999998</v>
      </c>
      <c r="D106" s="102">
        <v>0</v>
      </c>
      <c r="E106" s="102">
        <v>9</v>
      </c>
      <c r="F106" s="102">
        <v>1300</v>
      </c>
      <c r="G106" s="114" t="s">
        <v>25</v>
      </c>
      <c r="H106" s="102">
        <v>4.8700000000000001</v>
      </c>
      <c r="I106" s="102">
        <v>4.8200000000000003</v>
      </c>
      <c r="J106" s="102">
        <v>15</v>
      </c>
      <c r="K106" s="102">
        <v>-1</v>
      </c>
      <c r="L106" s="103" t="s">
        <v>26</v>
      </c>
      <c r="M106" s="3"/>
      <c r="N106" s="104">
        <v>1</v>
      </c>
      <c r="O106" s="102">
        <v>43</v>
      </c>
      <c r="P106" s="102">
        <v>50.700000000000003</v>
      </c>
      <c r="Q106" s="102">
        <v>7</v>
      </c>
      <c r="R106" s="103">
        <v>21</v>
      </c>
      <c r="S106" s="104" t="s">
        <v>25</v>
      </c>
      <c r="T106" s="102" t="s">
        <v>25</v>
      </c>
      <c r="U106" s="102" t="s">
        <v>25</v>
      </c>
      <c r="V106" s="102" t="s">
        <v>25</v>
      </c>
      <c r="W106" s="103" t="s">
        <v>25</v>
      </c>
      <c r="Y106" s="46">
        <v>123548.234375</v>
      </c>
      <c r="Z106" s="46">
        <v>0</v>
      </c>
    </row>
    <row r="107">
      <c r="A107" s="124">
        <v>45975</v>
      </c>
      <c r="B107" s="129">
        <v>-16.418182373046875</v>
      </c>
      <c r="C107" s="113">
        <v>-0.59999999999999998</v>
      </c>
      <c r="D107" s="102">
        <v>0</v>
      </c>
      <c r="E107" s="102">
        <v>12</v>
      </c>
      <c r="F107" s="102">
        <v>1300</v>
      </c>
      <c r="G107" s="114" t="s">
        <v>25</v>
      </c>
      <c r="H107" s="102">
        <v>4.8499999999999996</v>
      </c>
      <c r="I107" s="102">
        <v>4.7999999999999998</v>
      </c>
      <c r="J107" s="102">
        <v>14.699999999999999</v>
      </c>
      <c r="K107" s="102">
        <v>-0.5</v>
      </c>
      <c r="L107" s="103" t="s">
        <v>26</v>
      </c>
      <c r="M107" s="3"/>
      <c r="N107" s="104">
        <v>1</v>
      </c>
      <c r="O107" s="102">
        <v>43</v>
      </c>
      <c r="P107" s="102">
        <v>53.5</v>
      </c>
      <c r="Q107" s="102">
        <v>7</v>
      </c>
      <c r="R107" s="103">
        <v>19</v>
      </c>
      <c r="S107" s="104" t="s">
        <v>25</v>
      </c>
      <c r="T107" s="102" t="s">
        <v>25</v>
      </c>
      <c r="U107" s="102" t="s">
        <v>25</v>
      </c>
      <c r="V107" s="102" t="s">
        <v>25</v>
      </c>
      <c r="W107" s="103" t="s">
        <v>25</v>
      </c>
      <c r="Y107" s="46">
        <v>124074.796875</v>
      </c>
      <c r="Z107" s="46">
        <v>0</v>
      </c>
    </row>
    <row r="108">
      <c r="A108" s="124">
        <v>45976</v>
      </c>
      <c r="B108" s="129">
        <v>-0.30858179926872253</v>
      </c>
      <c r="C108" s="113">
        <v>-0.5</v>
      </c>
      <c r="D108" s="102">
        <v>0</v>
      </c>
      <c r="E108" s="102">
        <v>35</v>
      </c>
      <c r="F108" s="102">
        <v>1300</v>
      </c>
      <c r="G108" s="114" t="s">
        <v>25</v>
      </c>
      <c r="H108" s="102">
        <v>4.8799999999999999</v>
      </c>
      <c r="I108" s="102">
        <v>4.8700000000000001</v>
      </c>
      <c r="J108" s="102">
        <v>9.3000000000000007</v>
      </c>
      <c r="K108" s="102">
        <v>-0.5</v>
      </c>
      <c r="L108" s="103" t="s">
        <v>26</v>
      </c>
      <c r="M108" s="3"/>
      <c r="N108" s="104">
        <v>1</v>
      </c>
      <c r="O108" s="102">
        <v>42.899999999999999</v>
      </c>
      <c r="P108" s="102">
        <v>54.5</v>
      </c>
      <c r="Q108" s="102">
        <v>7</v>
      </c>
      <c r="R108" s="103">
        <v>18</v>
      </c>
      <c r="S108" s="104" t="s">
        <v>25</v>
      </c>
      <c r="T108" s="102" t="s">
        <v>25</v>
      </c>
      <c r="U108" s="102" t="s">
        <v>25</v>
      </c>
      <c r="V108" s="102" t="s">
        <v>25</v>
      </c>
      <c r="W108" s="103" t="s">
        <v>25</v>
      </c>
      <c r="Y108" s="46">
        <v>142820.5625</v>
      </c>
      <c r="Z108" s="46">
        <v>2971.412181854248</v>
      </c>
    </row>
    <row r="109">
      <c r="A109" s="124">
        <v>45977</v>
      </c>
      <c r="B109" s="129">
        <v>-7.9220337867736816</v>
      </c>
      <c r="C109" s="113">
        <v>-1.3999999999999999</v>
      </c>
      <c r="D109" s="102">
        <v>0</v>
      </c>
      <c r="E109" s="102">
        <v>35</v>
      </c>
      <c r="F109" s="102">
        <v>1350</v>
      </c>
      <c r="G109" s="114" t="s">
        <v>25</v>
      </c>
      <c r="H109" s="102">
        <v>4.9800000000000004</v>
      </c>
      <c r="I109" s="102">
        <v>4.9800000000000004</v>
      </c>
      <c r="J109" s="102">
        <v>8.5999999999999996</v>
      </c>
      <c r="K109" s="102">
        <v>-1.5</v>
      </c>
      <c r="L109" s="103" t="s">
        <v>26</v>
      </c>
      <c r="M109" s="3"/>
      <c r="N109" s="104">
        <v>1</v>
      </c>
      <c r="O109" s="102">
        <v>42.399999999999999</v>
      </c>
      <c r="P109" s="102">
        <v>55.399999999999999</v>
      </c>
      <c r="Q109" s="102">
        <v>8</v>
      </c>
      <c r="R109" s="103">
        <v>17</v>
      </c>
      <c r="S109" s="104" t="s">
        <v>25</v>
      </c>
      <c r="T109" s="102" t="s">
        <v>25</v>
      </c>
      <c r="U109" s="102" t="s">
        <v>25</v>
      </c>
      <c r="V109" s="102" t="s">
        <v>25</v>
      </c>
      <c r="W109" s="103" t="s">
        <v>25</v>
      </c>
      <c r="Y109" s="46">
        <v>144858.96875</v>
      </c>
      <c r="Z109" s="46">
        <v>0</v>
      </c>
    </row>
    <row r="110">
      <c r="A110" s="124">
        <v>45978</v>
      </c>
      <c r="B110" s="129">
        <v>-9.8009796142578125</v>
      </c>
      <c r="C110" s="113">
        <v>-1.6000000000000001</v>
      </c>
      <c r="D110" s="102">
        <v>0</v>
      </c>
      <c r="E110" s="102">
        <v>18</v>
      </c>
      <c r="F110" s="102">
        <v>1350</v>
      </c>
      <c r="G110" s="114" t="s">
        <v>25</v>
      </c>
      <c r="H110" s="102">
        <v>4.9699999999999998</v>
      </c>
      <c r="I110" s="102">
        <v>4.9800000000000004</v>
      </c>
      <c r="J110" s="102">
        <v>5.7999999999999998</v>
      </c>
      <c r="K110" s="102">
        <v>-1.7</v>
      </c>
      <c r="L110" s="103" t="s">
        <v>26</v>
      </c>
      <c r="M110" s="3"/>
      <c r="N110" s="104">
        <v>1</v>
      </c>
      <c r="O110" s="102">
        <v>42.100000000000001</v>
      </c>
      <c r="P110" s="102">
        <v>52.399999999999999</v>
      </c>
      <c r="Q110" s="102">
        <v>7</v>
      </c>
      <c r="R110" s="103">
        <v>18</v>
      </c>
      <c r="S110" s="104" t="s">
        <v>25</v>
      </c>
      <c r="T110" s="102" t="s">
        <v>25</v>
      </c>
      <c r="U110" s="102" t="s">
        <v>25</v>
      </c>
      <c r="V110" s="102" t="s">
        <v>25</v>
      </c>
      <c r="W110" s="103" t="s">
        <v>25</v>
      </c>
      <c r="Y110" s="46">
        <v>143029.37500000003</v>
      </c>
      <c r="Z110" s="46">
        <v>0</v>
      </c>
    </row>
    <row r="111">
      <c r="A111" s="124">
        <v>45979</v>
      </c>
      <c r="B111" s="129">
        <v>-7.4475793838500977</v>
      </c>
      <c r="C111" s="113">
        <v>-1.7</v>
      </c>
      <c r="D111" s="102">
        <v>0</v>
      </c>
      <c r="E111" s="102">
        <v>37</v>
      </c>
      <c r="F111" s="102">
        <v>1350</v>
      </c>
      <c r="G111" s="114" t="s">
        <v>25</v>
      </c>
      <c r="H111" s="102">
        <v>4.9199999999999999</v>
      </c>
      <c r="I111" s="102">
        <v>4.9299999999999997</v>
      </c>
      <c r="J111" s="102">
        <v>11.199999999999999</v>
      </c>
      <c r="K111" s="102">
        <v>-1.8</v>
      </c>
      <c r="L111" s="103" t="s">
        <v>26</v>
      </c>
      <c r="M111" s="3"/>
      <c r="N111" s="104">
        <v>1</v>
      </c>
      <c r="O111" s="102">
        <v>42.399999999999999</v>
      </c>
      <c r="P111" s="102">
        <v>51.5</v>
      </c>
      <c r="Q111" s="102">
        <v>7</v>
      </c>
      <c r="R111" s="103">
        <v>18</v>
      </c>
      <c r="S111" s="104" t="s">
        <v>25</v>
      </c>
      <c r="T111" s="102" t="s">
        <v>25</v>
      </c>
      <c r="U111" s="102" t="s">
        <v>25</v>
      </c>
      <c r="V111" s="102" t="s">
        <v>25</v>
      </c>
      <c r="W111" s="103" t="s">
        <v>25</v>
      </c>
      <c r="Y111" s="46">
        <v>131798.20312500003</v>
      </c>
      <c r="Z111" s="46">
        <v>0</v>
      </c>
    </row>
    <row r="112">
      <c r="A112" s="124">
        <v>45980</v>
      </c>
      <c r="B112" s="129">
        <v>-7.8523683547973633</v>
      </c>
      <c r="C112" s="113">
        <v>-0.90000000000000002</v>
      </c>
      <c r="D112" s="102">
        <v>0</v>
      </c>
      <c r="E112" s="102">
        <v>38</v>
      </c>
      <c r="F112" s="102">
        <v>1350</v>
      </c>
      <c r="G112" s="114" t="s">
        <v>25</v>
      </c>
      <c r="H112" s="102">
        <v>4.9199999999999999</v>
      </c>
      <c r="I112" s="102">
        <v>4.9299999999999997</v>
      </c>
      <c r="J112" s="102">
        <v>13</v>
      </c>
      <c r="K112" s="102">
        <v>-1.1000000000000001</v>
      </c>
      <c r="L112" s="103" t="s">
        <v>26</v>
      </c>
      <c r="M112" s="3"/>
      <c r="N112" s="104">
        <v>1</v>
      </c>
      <c r="O112" s="102">
        <v>42.5</v>
      </c>
      <c r="P112" s="102">
        <v>51.5</v>
      </c>
      <c r="Q112" s="102">
        <v>8</v>
      </c>
      <c r="R112" s="103">
        <v>18</v>
      </c>
      <c r="S112" s="104" t="s">
        <v>25</v>
      </c>
      <c r="T112" s="102" t="s">
        <v>25</v>
      </c>
      <c r="U112" s="102" t="s">
        <v>25</v>
      </c>
      <c r="V112" s="102" t="s">
        <v>25</v>
      </c>
      <c r="W112" s="103" t="s">
        <v>25</v>
      </c>
      <c r="Y112" s="46">
        <v>122096.5703125</v>
      </c>
      <c r="Z112" s="46">
        <v>0</v>
      </c>
    </row>
    <row r="113">
      <c r="A113" s="124">
        <v>45981</v>
      </c>
      <c r="B113" s="129">
        <v>-5.8832154273986816</v>
      </c>
      <c r="C113" s="113">
        <v>0.90000000000000002</v>
      </c>
      <c r="D113" s="102">
        <v>0</v>
      </c>
      <c r="E113" s="102">
        <v>59</v>
      </c>
      <c r="F113" s="102">
        <v>1350</v>
      </c>
      <c r="G113" s="114" t="s">
        <v>25</v>
      </c>
      <c r="H113" s="102">
        <v>5</v>
      </c>
      <c r="I113" s="102">
        <v>5.0099999999999998</v>
      </c>
      <c r="J113" s="102">
        <v>11.5</v>
      </c>
      <c r="K113" s="102">
        <v>0.69999999999999996</v>
      </c>
      <c r="L113" s="103" t="s">
        <v>26</v>
      </c>
      <c r="M113" s="3"/>
      <c r="N113" s="104">
        <v>1</v>
      </c>
      <c r="O113" s="102">
        <v>42.700000000000003</v>
      </c>
      <c r="P113" s="102">
        <v>52.100000000000001</v>
      </c>
      <c r="Q113" s="102">
        <v>8</v>
      </c>
      <c r="R113" s="103">
        <v>17</v>
      </c>
      <c r="S113" s="104" t="s">
        <v>25</v>
      </c>
      <c r="T113" s="102" t="s">
        <v>25</v>
      </c>
      <c r="U113" s="102" t="s">
        <v>25</v>
      </c>
      <c r="V113" s="102" t="s">
        <v>25</v>
      </c>
      <c r="W113" s="103" t="s">
        <v>25</v>
      </c>
      <c r="Y113" s="46">
        <v>123971.875</v>
      </c>
      <c r="Z113" s="46">
        <v>0</v>
      </c>
    </row>
    <row r="114">
      <c r="A114" s="124">
        <v>45982</v>
      </c>
      <c r="B114" s="129">
        <v>-18.214347839355469</v>
      </c>
      <c r="C114" s="113">
        <v>-1.3</v>
      </c>
      <c r="D114" s="102">
        <v>0</v>
      </c>
      <c r="E114" s="102">
        <v>16</v>
      </c>
      <c r="F114" s="102">
        <v>1350</v>
      </c>
      <c r="G114" s="114" t="s">
        <v>25</v>
      </c>
      <c r="H114" s="102">
        <v>4.9699999999999998</v>
      </c>
      <c r="I114" s="102">
        <v>4.9800000000000004</v>
      </c>
      <c r="J114" s="102">
        <v>11</v>
      </c>
      <c r="K114" s="102">
        <v>-1.5</v>
      </c>
      <c r="L114" s="103" t="s">
        <v>26</v>
      </c>
      <c r="M114" s="3"/>
      <c r="N114" s="104">
        <v>1</v>
      </c>
      <c r="O114" s="102">
        <v>42.799999999999997</v>
      </c>
      <c r="P114" s="102">
        <v>52</v>
      </c>
      <c r="Q114" s="102">
        <v>7</v>
      </c>
      <c r="R114" s="103">
        <v>18</v>
      </c>
      <c r="S114" s="104" t="s">
        <v>25</v>
      </c>
      <c r="T114" s="102" t="s">
        <v>25</v>
      </c>
      <c r="U114" s="102" t="s">
        <v>25</v>
      </c>
      <c r="V114" s="102" t="s">
        <v>25</v>
      </c>
      <c r="W114" s="103" t="s">
        <v>25</v>
      </c>
      <c r="Y114" s="46">
        <v>124527.2890625</v>
      </c>
      <c r="Z114" s="46">
        <v>0</v>
      </c>
    </row>
    <row r="115">
      <c r="A115" s="124">
        <v>45983</v>
      </c>
      <c r="B115" s="129">
        <v>-21.156723022460938</v>
      </c>
      <c r="C115" s="113">
        <v>-0.5</v>
      </c>
      <c r="D115" s="102">
        <v>0</v>
      </c>
      <c r="E115" s="102">
        <v>12</v>
      </c>
      <c r="F115" s="102">
        <v>1250</v>
      </c>
      <c r="G115" s="114" t="s">
        <v>25</v>
      </c>
      <c r="H115" s="102">
        <v>4.9100000000000001</v>
      </c>
      <c r="I115" s="102">
        <v>4.9100000000000001</v>
      </c>
      <c r="J115" s="102">
        <v>14.199999999999999</v>
      </c>
      <c r="K115" s="102">
        <v>-0.80000000000000004</v>
      </c>
      <c r="L115" s="103" t="s">
        <v>26</v>
      </c>
      <c r="M115" s="3"/>
      <c r="N115" s="104">
        <v>1</v>
      </c>
      <c r="O115" s="102">
        <v>43.200000000000003</v>
      </c>
      <c r="P115" s="102">
        <v>51</v>
      </c>
      <c r="Q115" s="102">
        <v>7</v>
      </c>
      <c r="R115" s="103">
        <v>19</v>
      </c>
      <c r="S115" s="104" t="s">
        <v>25</v>
      </c>
      <c r="T115" s="102" t="s">
        <v>25</v>
      </c>
      <c r="U115" s="102" t="s">
        <v>25</v>
      </c>
      <c r="V115" s="102" t="s">
        <v>25</v>
      </c>
      <c r="W115" s="103" t="s">
        <v>25</v>
      </c>
      <c r="Y115" s="46">
        <v>120255.54687500001</v>
      </c>
      <c r="Z115" s="46">
        <v>0</v>
      </c>
    </row>
    <row r="116">
      <c r="A116" s="124">
        <v>45984</v>
      </c>
      <c r="B116" s="129">
        <v>-24.385215759277344</v>
      </c>
      <c r="C116" s="113">
        <v>-1.3</v>
      </c>
      <c r="D116" s="102">
        <v>0</v>
      </c>
      <c r="E116" s="102">
        <v>9</v>
      </c>
      <c r="F116" s="102">
        <v>1250</v>
      </c>
      <c r="G116" s="114" t="s">
        <v>25</v>
      </c>
      <c r="H116" s="102">
        <v>4.8700000000000001</v>
      </c>
      <c r="I116" s="102">
        <v>4.8700000000000001</v>
      </c>
      <c r="J116" s="102">
        <v>10</v>
      </c>
      <c r="K116" s="102">
        <v>-1.5</v>
      </c>
      <c r="L116" s="103" t="s">
        <v>26</v>
      </c>
      <c r="M116" s="3"/>
      <c r="N116" s="104">
        <v>1</v>
      </c>
      <c r="O116" s="102">
        <v>43.200000000000003</v>
      </c>
      <c r="P116" s="102">
        <v>50.700000000000003</v>
      </c>
      <c r="Q116" s="102">
        <v>7</v>
      </c>
      <c r="R116" s="103">
        <v>19</v>
      </c>
      <c r="S116" s="104" t="s">
        <v>25</v>
      </c>
      <c r="T116" s="102" t="s">
        <v>25</v>
      </c>
      <c r="U116" s="102" t="s">
        <v>25</v>
      </c>
      <c r="V116" s="102" t="s">
        <v>25</v>
      </c>
      <c r="W116" s="103" t="s">
        <v>25</v>
      </c>
      <c r="Y116" s="46">
        <v>119474.51562500001</v>
      </c>
      <c r="Z116" s="46">
        <v>0</v>
      </c>
    </row>
    <row r="117">
      <c r="A117" s="124">
        <v>45985</v>
      </c>
      <c r="B117" s="129">
        <v>-33.857551574707031</v>
      </c>
      <c r="C117" s="113">
        <v>-0.5</v>
      </c>
      <c r="D117" s="102">
        <v>0</v>
      </c>
      <c r="E117" s="102">
        <v>5</v>
      </c>
      <c r="F117" s="102">
        <v>1250</v>
      </c>
      <c r="G117" s="114" t="s">
        <v>25</v>
      </c>
      <c r="H117" s="102">
        <v>4.8499999999999996</v>
      </c>
      <c r="I117" s="102">
        <v>4.8499999999999996</v>
      </c>
      <c r="J117" s="102">
        <v>10.4</v>
      </c>
      <c r="K117" s="102">
        <v>-1.5</v>
      </c>
      <c r="L117" s="103" t="s">
        <v>26</v>
      </c>
      <c r="M117" s="3"/>
      <c r="N117" s="104">
        <v>1</v>
      </c>
      <c r="O117" s="102">
        <v>43.200000000000003</v>
      </c>
      <c r="P117" s="102">
        <v>50.5</v>
      </c>
      <c r="Q117" s="102">
        <v>6</v>
      </c>
      <c r="R117" s="103">
        <v>17</v>
      </c>
      <c r="S117" s="104" t="s">
        <v>25</v>
      </c>
      <c r="T117" s="102" t="s">
        <v>25</v>
      </c>
      <c r="U117" s="102" t="s">
        <v>25</v>
      </c>
      <c r="V117" s="102" t="s">
        <v>25</v>
      </c>
      <c r="W117" s="103" t="s">
        <v>25</v>
      </c>
      <c r="Y117" s="46">
        <v>116722.25</v>
      </c>
      <c r="Z117" s="46">
        <v>0</v>
      </c>
    </row>
    <row r="118">
      <c r="A118" s="124">
        <v>45986</v>
      </c>
      <c r="B118" s="129">
        <v>-24.032260894775391</v>
      </c>
      <c r="C118" s="113">
        <v>-0.59999999999999998</v>
      </c>
      <c r="D118" s="102">
        <v>0</v>
      </c>
      <c r="E118" s="102">
        <v>9</v>
      </c>
      <c r="F118" s="102">
        <v>1250</v>
      </c>
      <c r="G118" s="114" t="s">
        <v>25</v>
      </c>
      <c r="H118" s="102">
        <v>4.8600000000000003</v>
      </c>
      <c r="I118" s="102">
        <v>4.8499999999999996</v>
      </c>
      <c r="J118" s="102">
        <v>12.1</v>
      </c>
      <c r="K118" s="102">
        <v>-0.80000000000000004</v>
      </c>
      <c r="L118" s="103" t="s">
        <v>26</v>
      </c>
      <c r="M118" s="3"/>
      <c r="N118" s="104">
        <v>1</v>
      </c>
      <c r="O118" s="102">
        <v>43.200000000000003</v>
      </c>
      <c r="P118" s="102">
        <v>50.700000000000003</v>
      </c>
      <c r="Q118" s="102">
        <v>6</v>
      </c>
      <c r="R118" s="103">
        <v>19</v>
      </c>
      <c r="S118" s="104" t="s">
        <v>25</v>
      </c>
      <c r="T118" s="102" t="s">
        <v>25</v>
      </c>
      <c r="U118" s="102" t="s">
        <v>25</v>
      </c>
      <c r="V118" s="102" t="s">
        <v>25</v>
      </c>
      <c r="W118" s="103" t="s">
        <v>25</v>
      </c>
      <c r="Y118" s="46">
        <v>111296.890625</v>
      </c>
      <c r="Z118" s="46">
        <v>0</v>
      </c>
    </row>
    <row r="119">
      <c r="A119" s="124">
        <v>45987</v>
      </c>
      <c r="B119" s="129">
        <v>-28.931522369384766</v>
      </c>
      <c r="C119" s="113">
        <v>-1.5</v>
      </c>
      <c r="D119" s="102">
        <v>0</v>
      </c>
      <c r="E119" s="102">
        <v>4</v>
      </c>
      <c r="F119" s="102">
        <v>1250</v>
      </c>
      <c r="G119" s="114" t="s">
        <v>25</v>
      </c>
      <c r="H119" s="102">
        <v>4.8899999999999997</v>
      </c>
      <c r="I119" s="102">
        <v>4.8799999999999999</v>
      </c>
      <c r="J119" s="102">
        <v>8.1999999999999993</v>
      </c>
      <c r="K119" s="102">
        <v>-1.6000000000000001</v>
      </c>
      <c r="L119" s="103" t="s">
        <v>26</v>
      </c>
      <c r="M119" s="3"/>
      <c r="N119" s="104">
        <v>1</v>
      </c>
      <c r="O119" s="102">
        <v>43.200000000000003</v>
      </c>
      <c r="P119" s="102">
        <v>50.899999999999999</v>
      </c>
      <c r="Q119" s="102">
        <v>6</v>
      </c>
      <c r="R119" s="103">
        <v>18</v>
      </c>
      <c r="S119" s="104" t="s">
        <v>25</v>
      </c>
      <c r="T119" s="102" t="s">
        <v>25</v>
      </c>
      <c r="U119" s="102" t="s">
        <v>25</v>
      </c>
      <c r="V119" s="102" t="s">
        <v>25</v>
      </c>
      <c r="W119" s="103" t="s">
        <v>25</v>
      </c>
      <c r="Y119" s="46">
        <v>114451.484375</v>
      </c>
      <c r="Z119" s="46">
        <v>0</v>
      </c>
    </row>
    <row r="120">
      <c r="A120" s="124">
        <v>45988</v>
      </c>
      <c r="B120" s="129">
        <v>-35.045097351074219</v>
      </c>
      <c r="C120" s="113">
        <v>-0.69999999999999996</v>
      </c>
      <c r="D120" s="102">
        <v>0</v>
      </c>
      <c r="E120" s="102">
        <v>4</v>
      </c>
      <c r="F120" s="102">
        <v>1250</v>
      </c>
      <c r="G120" s="114" t="s">
        <v>25</v>
      </c>
      <c r="H120" s="102">
        <v>4.8799999999999999</v>
      </c>
      <c r="I120" s="102">
        <v>4.8700000000000001</v>
      </c>
      <c r="J120" s="102">
        <v>8.8000000000000007</v>
      </c>
      <c r="K120" s="102">
        <v>-1</v>
      </c>
      <c r="L120" s="103" t="s">
        <v>26</v>
      </c>
      <c r="M120" s="3"/>
      <c r="N120" s="104">
        <v>2</v>
      </c>
      <c r="O120" s="102">
        <v>43.200000000000003</v>
      </c>
      <c r="P120" s="102">
        <v>50.799999999999997</v>
      </c>
      <c r="Q120" s="102">
        <v>6</v>
      </c>
      <c r="R120" s="103">
        <v>17</v>
      </c>
      <c r="S120" s="104" t="s">
        <v>25</v>
      </c>
      <c r="T120" s="102" t="s">
        <v>25</v>
      </c>
      <c r="U120" s="102" t="s">
        <v>25</v>
      </c>
      <c r="V120" s="102" t="s">
        <v>25</v>
      </c>
      <c r="W120" s="103" t="s">
        <v>25</v>
      </c>
      <c r="Y120" s="46">
        <v>115264.5078125</v>
      </c>
      <c r="Z120" s="46">
        <v>0</v>
      </c>
    </row>
    <row r="121">
      <c r="A121" s="124">
        <v>45989</v>
      </c>
      <c r="B121" s="129">
        <v>-26.948246002197266</v>
      </c>
      <c r="C121" s="113">
        <v>-1.3999999999999999</v>
      </c>
      <c r="D121" s="102">
        <v>0</v>
      </c>
      <c r="E121" s="102">
        <v>8</v>
      </c>
      <c r="F121" s="102">
        <v>1300</v>
      </c>
      <c r="G121" s="114" t="s">
        <v>25</v>
      </c>
      <c r="H121" s="102">
        <v>4.8899999999999997</v>
      </c>
      <c r="I121" s="102">
        <v>4.8799999999999999</v>
      </c>
      <c r="J121" s="102">
        <v>10</v>
      </c>
      <c r="K121" s="102">
        <v>-1.6000000000000001</v>
      </c>
      <c r="L121" s="103" t="s">
        <v>26</v>
      </c>
      <c r="M121" s="3"/>
      <c r="N121" s="104">
        <v>2</v>
      </c>
      <c r="O121" s="102">
        <v>42.899999999999999</v>
      </c>
      <c r="P121" s="102">
        <v>51</v>
      </c>
      <c r="Q121" s="102">
        <v>6</v>
      </c>
      <c r="R121" s="103">
        <v>17</v>
      </c>
      <c r="S121" s="104" t="s">
        <v>25</v>
      </c>
      <c r="T121" s="102" t="s">
        <v>25</v>
      </c>
      <c r="U121" s="102" t="s">
        <v>25</v>
      </c>
      <c r="V121" s="102" t="s">
        <v>25</v>
      </c>
      <c r="W121" s="103" t="s">
        <v>25</v>
      </c>
      <c r="Y121" s="46">
        <v>107875.140625</v>
      </c>
      <c r="Z121" s="46">
        <v>0</v>
      </c>
    </row>
    <row r="122">
      <c r="A122" s="124">
        <v>45990</v>
      </c>
      <c r="B122" s="129">
        <v>-22.954437255859375</v>
      </c>
      <c r="C122" s="113">
        <v>-1.3</v>
      </c>
      <c r="D122" s="102">
        <v>0</v>
      </c>
      <c r="E122" s="102">
        <v>7</v>
      </c>
      <c r="F122" s="102">
        <v>1300</v>
      </c>
      <c r="G122" s="114" t="s">
        <v>25</v>
      </c>
      <c r="H122" s="102">
        <v>4.8700000000000001</v>
      </c>
      <c r="I122" s="102">
        <v>4.8600000000000003</v>
      </c>
      <c r="J122" s="102">
        <v>11</v>
      </c>
      <c r="K122" s="102">
        <v>-1.5</v>
      </c>
      <c r="L122" s="103" t="s">
        <v>26</v>
      </c>
      <c r="M122" s="3"/>
      <c r="N122" s="104">
        <v>2</v>
      </c>
      <c r="O122" s="102">
        <v>42.899999999999999</v>
      </c>
      <c r="P122" s="102">
        <v>50.799999999999997</v>
      </c>
      <c r="Q122" s="102">
        <v>7</v>
      </c>
      <c r="R122" s="103">
        <v>18</v>
      </c>
      <c r="S122" s="104" t="s">
        <v>25</v>
      </c>
      <c r="T122" s="102" t="s">
        <v>25</v>
      </c>
      <c r="U122" s="102" t="s">
        <v>25</v>
      </c>
      <c r="V122" s="102" t="s">
        <v>25</v>
      </c>
      <c r="W122" s="103" t="s">
        <v>25</v>
      </c>
      <c r="Y122" s="46">
        <v>110677.00781250001</v>
      </c>
      <c r="Z122" s="46">
        <v>3594.7079658508301</v>
      </c>
    </row>
    <row r="123" ht="15">
      <c r="A123" s="130">
        <v>45991</v>
      </c>
      <c r="B123" s="131">
        <v>-14.008397102355957</v>
      </c>
      <c r="C123" s="132">
        <v>-1.3</v>
      </c>
      <c r="D123" s="122">
        <v>0</v>
      </c>
      <c r="E123" s="122">
        <v>16</v>
      </c>
      <c r="F123" s="122">
        <v>1300</v>
      </c>
      <c r="G123" s="133" t="s">
        <v>25</v>
      </c>
      <c r="H123" s="122">
        <v>4.8600000000000003</v>
      </c>
      <c r="I123" s="122">
        <v>4.8700000000000001</v>
      </c>
      <c r="J123" s="122">
        <v>12.1</v>
      </c>
      <c r="K123" s="122">
        <v>-1.3999999999999999</v>
      </c>
      <c r="L123" s="123" t="s">
        <v>26</v>
      </c>
      <c r="M123" s="3"/>
      <c r="N123" s="121">
        <v>2</v>
      </c>
      <c r="O123" s="122">
        <v>42.899999999999999</v>
      </c>
      <c r="P123" s="122">
        <v>50.799999999999997</v>
      </c>
      <c r="Q123" s="122">
        <v>6</v>
      </c>
      <c r="R123" s="123">
        <v>18</v>
      </c>
      <c r="S123" s="121" t="s">
        <v>25</v>
      </c>
      <c r="T123" s="122" t="s">
        <v>25</v>
      </c>
      <c r="U123" s="122" t="s">
        <v>25</v>
      </c>
      <c r="V123" s="122" t="s">
        <v>25</v>
      </c>
      <c r="W123" s="123" t="s">
        <v>25</v>
      </c>
      <c r="Y123" s="64">
        <v>110468.3828125</v>
      </c>
      <c r="Z123" s="64">
        <v>5984.2038154602051</v>
      </c>
    </row>
    <row r="124">
      <c r="A124" s="134"/>
    </row>
    <row r="125">
      <c r="A125" s="134"/>
    </row>
    <row r="126">
      <c r="A126" s="134"/>
    </row>
    <row r="127">
      <c r="A127" s="134"/>
    </row>
    <row r="128">
      <c r="A128" s="134"/>
    </row>
    <row r="129">
      <c r="A129" s="13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n.a.burmistrov@gd-urengoy.gazprom.ru</cp:lastModifiedBy>
  <cp:revision>11</cp:revision>
  <dcterms:modified xsi:type="dcterms:W3CDTF">2026-03-25T04:21:17Z</dcterms:modified>
</cp:coreProperties>
</file>